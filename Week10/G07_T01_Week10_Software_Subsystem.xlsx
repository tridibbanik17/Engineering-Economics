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869A1145-A157-48A3-A934-B3AD45C2C4FA}" xr6:coauthVersionLast="47" xr6:coauthVersionMax="47" xr10:uidLastSave="{00000000-0000-0000-0000-000000000000}"/>
  <bookViews>
    <workbookView xWindow="-108" yWindow="-108" windowWidth="23256" windowHeight="12456" activeTab="2" xr2:uid="{4E769DF5-2DE3-4BB9-B803-CA06AC8B56E6}"/>
  </bookViews>
  <sheets>
    <sheet name="Stochastic" sheetId="4" r:id="rId1"/>
    <sheet name="Sensitivity_Analysis" sheetId="2" r:id="rId2"/>
    <sheet name="Monte_Carlo" sheetId="3" r:id="rId3"/>
  </sheets>
  <definedNames>
    <definedName name="_xlchart.v1.0" hidden="1">Monte_Carlo!$B$2:$B$501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M3" i="4"/>
  <c r="C3" i="4"/>
  <c r="AA4" i="4"/>
  <c r="P4" i="4" s="1"/>
  <c r="AA5" i="4"/>
  <c r="P5" i="4" s="1"/>
  <c r="AA6" i="4"/>
  <c r="P6" i="4" s="1"/>
  <c r="AA7" i="4"/>
  <c r="P7" i="4" s="1"/>
  <c r="AA8" i="4"/>
  <c r="P8" i="4" s="1"/>
  <c r="AA9" i="4"/>
  <c r="P9" i="4" s="1"/>
  <c r="AA10" i="4"/>
  <c r="P10" i="4" s="1"/>
  <c r="AA11" i="4"/>
  <c r="P11" i="4" s="1"/>
  <c r="AA12" i="4"/>
  <c r="P12" i="4" s="1"/>
  <c r="AA3" i="4"/>
  <c r="P3" i="4" s="1"/>
  <c r="O4" i="4"/>
  <c r="O5" i="4"/>
  <c r="O6" i="4"/>
  <c r="O7" i="4"/>
  <c r="O8" i="4"/>
  <c r="O9" i="4"/>
  <c r="O10" i="4"/>
  <c r="O11" i="4"/>
  <c r="O12" i="4"/>
  <c r="O3" i="4"/>
  <c r="M4" i="4"/>
  <c r="M5" i="4"/>
  <c r="M6" i="4"/>
  <c r="M7" i="4"/>
  <c r="M8" i="4"/>
  <c r="M9" i="4"/>
  <c r="M10" i="4"/>
  <c r="M11" i="4"/>
  <c r="M12" i="4"/>
  <c r="Z4" i="4"/>
  <c r="N4" i="4" s="1"/>
  <c r="Z5" i="4"/>
  <c r="N5" i="4" s="1"/>
  <c r="Z6" i="4"/>
  <c r="N6" i="4" s="1"/>
  <c r="Z7" i="4"/>
  <c r="N7" i="4" s="1"/>
  <c r="Z8" i="4"/>
  <c r="N8" i="4" s="1"/>
  <c r="Z9" i="4"/>
  <c r="N9" i="4" s="1"/>
  <c r="Z10" i="4"/>
  <c r="N10" i="4" s="1"/>
  <c r="Z11" i="4"/>
  <c r="N11" i="4" s="1"/>
  <c r="Z12" i="4"/>
  <c r="N12" i="4" s="1"/>
  <c r="Z3" i="4"/>
  <c r="N3" i="4" s="1"/>
  <c r="J3" i="4"/>
  <c r="Y4" i="4"/>
  <c r="L4" i="4" s="1"/>
  <c r="Y5" i="4"/>
  <c r="L5" i="4" s="1"/>
  <c r="Y6" i="4"/>
  <c r="L6" i="4" s="1"/>
  <c r="Y7" i="4"/>
  <c r="L7" i="4" s="1"/>
  <c r="Y8" i="4"/>
  <c r="L8" i="4" s="1"/>
  <c r="Y9" i="4"/>
  <c r="L9" i="4" s="1"/>
  <c r="Y10" i="4"/>
  <c r="L10" i="4" s="1"/>
  <c r="Y11" i="4"/>
  <c r="L11" i="4" s="1"/>
  <c r="Y12" i="4"/>
  <c r="L12" i="4" s="1"/>
  <c r="Y3" i="4"/>
  <c r="L3" i="4" s="1"/>
  <c r="J4" i="4"/>
  <c r="J5" i="4"/>
  <c r="J6" i="4"/>
  <c r="J7" i="4"/>
  <c r="J8" i="4"/>
  <c r="J9" i="4"/>
  <c r="J10" i="4"/>
  <c r="J11" i="4"/>
  <c r="J12" i="4"/>
  <c r="X4" i="4"/>
  <c r="K4" i="4" s="1"/>
  <c r="X5" i="4"/>
  <c r="K5" i="4" s="1"/>
  <c r="X6" i="4"/>
  <c r="K6" i="4" s="1"/>
  <c r="X7" i="4"/>
  <c r="K7" i="4" s="1"/>
  <c r="X8" i="4"/>
  <c r="K8" i="4" s="1"/>
  <c r="X9" i="4"/>
  <c r="K9" i="4" s="1"/>
  <c r="X10" i="4"/>
  <c r="K10" i="4" s="1"/>
  <c r="X11" i="4"/>
  <c r="K11" i="4" s="1"/>
  <c r="X12" i="4"/>
  <c r="K12" i="4" s="1"/>
  <c r="X3" i="4"/>
  <c r="K3" i="4" s="1"/>
  <c r="H3" i="4"/>
  <c r="U4" i="4"/>
  <c r="T4" i="4"/>
  <c r="S6" i="4"/>
  <c r="R4" i="4"/>
  <c r="Q4" i="4"/>
  <c r="I4" i="4"/>
  <c r="I5" i="4"/>
  <c r="I6" i="4"/>
  <c r="I7" i="4"/>
  <c r="I8" i="4"/>
  <c r="I9" i="4"/>
  <c r="I10" i="4"/>
  <c r="I11" i="4"/>
  <c r="I12" i="4"/>
  <c r="I3" i="4"/>
  <c r="G4" i="4"/>
  <c r="G5" i="4"/>
  <c r="G6" i="4"/>
  <c r="G7" i="4"/>
  <c r="G8" i="4"/>
  <c r="G9" i="4"/>
  <c r="G10" i="4"/>
  <c r="G11" i="4"/>
  <c r="G12" i="4"/>
  <c r="G3" i="4"/>
  <c r="D3" i="4"/>
  <c r="B28" i="4"/>
  <c r="U12" i="4"/>
  <c r="T12" i="4"/>
  <c r="S12" i="4"/>
  <c r="R12" i="4"/>
  <c r="Q12" i="4"/>
  <c r="H12" i="4"/>
  <c r="U11" i="4"/>
  <c r="T11" i="4"/>
  <c r="S11" i="4"/>
  <c r="R11" i="4"/>
  <c r="Q11" i="4"/>
  <c r="H11" i="4"/>
  <c r="U10" i="4"/>
  <c r="T10" i="4"/>
  <c r="S10" i="4"/>
  <c r="R10" i="4"/>
  <c r="Q10" i="4"/>
  <c r="H10" i="4"/>
  <c r="U9" i="4"/>
  <c r="T9" i="4"/>
  <c r="S9" i="4"/>
  <c r="R9" i="4"/>
  <c r="Q9" i="4"/>
  <c r="H9" i="4"/>
  <c r="U8" i="4"/>
  <c r="T8" i="4"/>
  <c r="S8" i="4"/>
  <c r="R8" i="4"/>
  <c r="Q8" i="4"/>
  <c r="H8" i="4"/>
  <c r="U7" i="4"/>
  <c r="T7" i="4"/>
  <c r="S7" i="4"/>
  <c r="R7" i="4"/>
  <c r="Q7" i="4"/>
  <c r="H7" i="4"/>
  <c r="U6" i="4"/>
  <c r="T6" i="4"/>
  <c r="R6" i="4"/>
  <c r="Q6" i="4"/>
  <c r="H6" i="4"/>
  <c r="U5" i="4"/>
  <c r="T5" i="4"/>
  <c r="S5" i="4"/>
  <c r="R5" i="4"/>
  <c r="Q5" i="4"/>
  <c r="H5" i="4"/>
  <c r="S4" i="4"/>
  <c r="H4" i="4"/>
  <c r="V5" i="4" l="1"/>
  <c r="V4" i="4"/>
  <c r="E3" i="4"/>
  <c r="V12" i="4"/>
  <c r="V8" i="4"/>
  <c r="V6" i="4"/>
  <c r="V11" i="4"/>
  <c r="V9" i="4"/>
  <c r="V3" i="4"/>
  <c r="V10" i="4"/>
  <c r="V7" i="4"/>
  <c r="V13" i="4" l="1"/>
  <c r="V14" i="4" l="1"/>
  <c r="C2" i="3" s="1"/>
  <c r="L4" i="3" s="1"/>
  <c r="B2" i="3"/>
  <c r="K4" i="3" s="1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" i="3"/>
  <c r="A6" i="3" s="1"/>
  <c r="A7" i="3" s="1"/>
  <c r="A8" i="3" s="1"/>
  <c r="A9" i="3" s="1"/>
  <c r="A10" i="3" s="1"/>
  <c r="A4" i="3"/>
  <c r="A3" i="3"/>
  <c r="C3" i="2"/>
  <c r="C4" i="2"/>
  <c r="M8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D11" i="2"/>
  <c r="M9" i="2" s="1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 l="1"/>
  <c r="G16" i="2"/>
  <c r="F16" i="2"/>
  <c r="E16" i="2"/>
  <c r="L6" i="2"/>
  <c r="L13" i="2"/>
  <c r="L9" i="2"/>
  <c r="M6" i="2"/>
  <c r="L11" i="2"/>
  <c r="L10" i="2"/>
  <c r="L8" i="2"/>
  <c r="M7" i="2"/>
  <c r="M14" i="2"/>
  <c r="M13" i="2"/>
  <c r="M12" i="2"/>
  <c r="M11" i="2"/>
  <c r="M10" i="2"/>
  <c r="L14" i="2"/>
  <c r="L12" i="2"/>
  <c r="L7" i="2"/>
  <c r="L5" i="2"/>
  <c r="B28" i="2" l="1"/>
  <c r="C5" i="2" s="1"/>
  <c r="D53" i="2"/>
  <c r="F53" i="2"/>
  <c r="H53" i="2"/>
  <c r="D54" i="2"/>
  <c r="F54" i="2"/>
  <c r="H54" i="2"/>
  <c r="D55" i="2"/>
  <c r="F55" i="2"/>
  <c r="H55" i="2"/>
  <c r="D56" i="2"/>
  <c r="F56" i="2"/>
  <c r="H56" i="2"/>
  <c r="D57" i="2"/>
  <c r="F57" i="2"/>
  <c r="H57" i="2"/>
  <c r="D58" i="2"/>
  <c r="F58" i="2"/>
  <c r="H58" i="2"/>
  <c r="D59" i="2"/>
  <c r="F59" i="2"/>
  <c r="H59" i="2"/>
  <c r="D60" i="2"/>
  <c r="F60" i="2"/>
  <c r="H60" i="2"/>
  <c r="D61" i="2"/>
  <c r="F61" i="2"/>
  <c r="H61" i="2"/>
  <c r="K5" i="2" l="1"/>
  <c r="C16" i="2"/>
  <c r="H16" i="2" s="1"/>
  <c r="N11" i="2"/>
  <c r="N9" i="2"/>
  <c r="N10" i="2"/>
  <c r="L2" i="3" l="1"/>
  <c r="L3" i="3"/>
  <c r="K2" i="3"/>
  <c r="K3" i="3"/>
  <c r="N14" i="2"/>
  <c r="N6" i="2"/>
  <c r="N8" i="2"/>
  <c r="N7" i="2"/>
  <c r="N12" i="2"/>
  <c r="N13" i="2"/>
  <c r="N5" i="2"/>
  <c r="K6" i="3" l="1"/>
  <c r="L6" i="3"/>
  <c r="K5" i="3"/>
  <c r="L5" i="3"/>
  <c r="N15" i="2"/>
  <c r="G52" i="2" s="1"/>
  <c r="E52" i="2" l="1"/>
  <c r="I52" i="2"/>
  <c r="N16" i="2"/>
</calcChain>
</file>

<file path=xl/sharedStrings.xml><?xml version="1.0" encoding="utf-8"?>
<sst xmlns="http://schemas.openxmlformats.org/spreadsheetml/2006/main" count="206" uniqueCount="108">
  <si>
    <t>From Week 9, Uncertainty ranges are:</t>
  </si>
  <si>
    <t>Risk Driver</t>
  </si>
  <si>
    <t>Uncertainty Range</t>
  </si>
  <si>
    <t>Uncertainty in Updating of Cybersecurity</t>
  </si>
  <si>
    <t>+-50%</t>
  </si>
  <si>
    <t>Operating Cost Variability Due to Cloud and Energy Use</t>
  </si>
  <si>
    <t>Hardware Failure</t>
  </si>
  <si>
    <t>+-7.5%</t>
  </si>
  <si>
    <t>Uncertainty in Time for Certification of Cybersecurity for Whole System</t>
  </si>
  <si>
    <t>+-1%</t>
  </si>
  <si>
    <t>Nominal Annual Discount Rate</t>
  </si>
  <si>
    <t>Inflation Rate</t>
  </si>
  <si>
    <t>Value</t>
  </si>
  <si>
    <t>Inflation</t>
  </si>
  <si>
    <t>Nominal Discount Rate</t>
  </si>
  <si>
    <t>Year</t>
  </si>
  <si>
    <t>CapEx (Real)</t>
  </si>
  <si>
    <t>OpEx (Real)</t>
  </si>
  <si>
    <t>Monetized benefits (Real)</t>
  </si>
  <si>
    <t>Net cash flow (Nominal)</t>
  </si>
  <si>
    <t>PW</t>
  </si>
  <si>
    <t>AW</t>
  </si>
  <si>
    <t>Spider Plot</t>
  </si>
  <si>
    <t>Base case</t>
  </si>
  <si>
    <t>Converstion Factors</t>
  </si>
  <si>
    <t>Item</t>
  </si>
  <si>
    <t>Number of Cameras</t>
  </si>
  <si>
    <t>#</t>
  </si>
  <si>
    <t>Camera</t>
  </si>
  <si>
    <t>$/camera</t>
  </si>
  <si>
    <t>CapEx</t>
  </si>
  <si>
    <t>Cameras</t>
  </si>
  <si>
    <t>TBs of Storage</t>
  </si>
  <si>
    <t>TB</t>
  </si>
  <si>
    <t>TB of Storage</t>
  </si>
  <si>
    <t>$/TB</t>
  </si>
  <si>
    <t>Hard Drives</t>
  </si>
  <si>
    <t>Required Network Bandwidth</t>
  </si>
  <si>
    <t>MB/s</t>
  </si>
  <si>
    <t>Wireless Access Point Bandwidth</t>
  </si>
  <si>
    <t>Wireless Access Points</t>
  </si>
  <si>
    <t>Number of Wireless Access Points:</t>
  </si>
  <si>
    <t>Wireless Access Point</t>
  </si>
  <si>
    <t>$/WAP</t>
  </si>
  <si>
    <t>Property Insurance</t>
  </si>
  <si>
    <t>$</t>
  </si>
  <si>
    <t>Camera Maintenance</t>
  </si>
  <si>
    <t>OpEx</t>
  </si>
  <si>
    <t>Camera, Sensor, Security-Related Device Maintenance</t>
  </si>
  <si>
    <t>Encryption Savings</t>
  </si>
  <si>
    <t>Security Guard</t>
  </si>
  <si>
    <t>$/hour</t>
  </si>
  <si>
    <t>Salary of Network Engineer</t>
  </si>
  <si>
    <t>Low Bandwidth Productivity Rate</t>
  </si>
  <si>
    <t>% (in decimal form)</t>
  </si>
  <si>
    <t>Property Insurance Reduction</t>
  </si>
  <si>
    <t>Data Center Energy</t>
  </si>
  <si>
    <t>Pessimistic Network Engineer Salary</t>
  </si>
  <si>
    <t>$/year</t>
  </si>
  <si>
    <t>Average Breaches</t>
  </si>
  <si>
    <t>#/year</t>
  </si>
  <si>
    <t>Most Likely Network Engineer Salary</t>
  </si>
  <si>
    <t>kWh per TB</t>
  </si>
  <si>
    <t>kWh/TB</t>
  </si>
  <si>
    <t>Benefits</t>
  </si>
  <si>
    <t>Eliminated Patrol Salary</t>
  </si>
  <si>
    <t>Optimistic Network Engineer Salary</t>
  </si>
  <si>
    <t>$ per kWh</t>
  </si>
  <si>
    <t>$/kWh</t>
  </si>
  <si>
    <t>Expected Value of Avoided Downtime</t>
  </si>
  <si>
    <t>Reduced Property Insurance Premiums</t>
  </si>
  <si>
    <t>Enhanced Encryption</t>
  </si>
  <si>
    <t>Security Productivity</t>
  </si>
  <si>
    <t>Total</t>
  </si>
  <si>
    <t>Net Cash Flow</t>
  </si>
  <si>
    <t>Design Parameters</t>
  </si>
  <si>
    <t>Impact</t>
  </si>
  <si>
    <t>Risks</t>
  </si>
  <si>
    <t>Implement?</t>
  </si>
  <si>
    <t>Risk Mitigation</t>
  </si>
  <si>
    <t>Cost</t>
  </si>
  <si>
    <t>Benefit</t>
  </si>
  <si>
    <t>Reserved pricing, FinOps reviews, and real-time monitoring</t>
  </si>
  <si>
    <t>Early planning, readiness checks, and schedule buffering</t>
  </si>
  <si>
    <t>Hire expert for regular maintenance and code documentation</t>
  </si>
  <si>
    <t>Reduces risk probability by 25%</t>
  </si>
  <si>
    <t>Reduces unexpected costs by 35%</t>
  </si>
  <si>
    <t>Stochastic terms (press F9 to refresh):</t>
  </si>
  <si>
    <t>Run</t>
  </si>
  <si>
    <t>Mean</t>
  </si>
  <si>
    <t>Stdev</t>
  </si>
  <si>
    <t>Confidence Interval Upper</t>
  </si>
  <si>
    <t>Confidence Interval Lower</t>
  </si>
  <si>
    <t>Reference PW</t>
  </si>
  <si>
    <t>Reference AW</t>
  </si>
  <si>
    <t>Hardware Failure/Need for Immediate Maintenance</t>
  </si>
  <si>
    <t>Likeliness (%/year)</t>
  </si>
  <si>
    <t>N+1 redundacy for hardware</t>
  </si>
  <si>
    <t>Reduces risk probability by 11.31%</t>
  </si>
  <si>
    <t>Additional Operating Cost from Cloud and Energy Use</t>
  </si>
  <si>
    <t>Additional Cost for Certification of Cybersecurity for Whole System</t>
  </si>
  <si>
    <t>Virtually eliminates certification as the project critical delay (reduces likeliness by 2%)</t>
  </si>
  <si>
    <t>Additional Cost for Updating Cybersecurity</t>
  </si>
  <si>
    <t>Additional Cost for Hardware Failure/Need for Immediate Maintenance</t>
  </si>
  <si>
    <t>Unit</t>
  </si>
  <si>
    <t>Note: This assumes that certification of cybersecurity system takes place annually.</t>
  </si>
  <si>
    <t>Benefit is ongoing, but Cost us CapEx</t>
  </si>
  <si>
    <t>Probability Value&gt;0: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</si>
</sst>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9" fontId="0" fillId="0" borderId="0" xfId="0" applyNumberFormat="1"/>
    <xf numFmtId="10" fontId="2" fillId="0" borderId="2" xfId="0" applyNumberFormat="1" applyFont="1" applyBorder="1"/>
    <xf numFmtId="0" fontId="2" fillId="0" borderId="2" xfId="0" applyFont="1" applyBorder="1"/>
    <xf numFmtId="0" fontId="0" fillId="0" borderId="2" xfId="0" applyBorder="1"/>
    <xf numFmtId="10" fontId="0" fillId="0" borderId="2" xfId="0" applyNumberFormat="1" applyBorder="1"/>
    <xf numFmtId="9" fontId="0" fillId="0" borderId="2" xfId="0" applyNumberFormat="1" applyBorder="1"/>
    <xf numFmtId="8" fontId="0" fillId="0" borderId="0" xfId="0" applyNumberFormat="1"/>
    <xf numFmtId="0" fontId="3" fillId="0" borderId="0" xfId="0" applyFont="1"/>
    <xf numFmtId="0" fontId="5" fillId="0" borderId="2" xfId="0" applyFont="1" applyBorder="1"/>
    <xf numFmtId="8" fontId="0" fillId="0" borderId="2" xfId="0" applyNumberFormat="1" applyBorder="1"/>
    <xf numFmtId="9" fontId="5" fillId="0" borderId="2" xfId="0" applyNumberFormat="1" applyFont="1" applyBorder="1"/>
    <xf numFmtId="0" fontId="5" fillId="2" borderId="2" xfId="0" applyFont="1" applyFill="1" applyBorder="1"/>
    <xf numFmtId="0" fontId="0" fillId="2" borderId="2" xfId="0" applyFill="1" applyBorder="1"/>
    <xf numFmtId="2" fontId="0" fillId="2" borderId="2" xfId="0" applyNumberFormat="1" applyFill="1" applyBorder="1"/>
    <xf numFmtId="0" fontId="5" fillId="3" borderId="2" xfId="0" applyFont="1" applyFill="1" applyBorder="1"/>
    <xf numFmtId="0" fontId="0" fillId="3" borderId="2" xfId="0" applyFill="1" applyBorder="1"/>
    <xf numFmtId="2" fontId="0" fillId="3" borderId="2" xfId="0" applyNumberFormat="1" applyFill="1" applyBorder="1"/>
    <xf numFmtId="0" fontId="5" fillId="4" borderId="2" xfId="0" applyFont="1" applyFill="1" applyBorder="1"/>
    <xf numFmtId="0" fontId="0" fillId="4" borderId="2" xfId="0" applyFill="1" applyBorder="1"/>
    <xf numFmtId="2" fontId="0" fillId="4" borderId="2" xfId="0" applyNumberFormat="1" applyFill="1" applyBorder="1"/>
    <xf numFmtId="164" fontId="0" fillId="0" borderId="2" xfId="0" applyNumberFormat="1" applyBorder="1"/>
    <xf numFmtId="8" fontId="0" fillId="0" borderId="2" xfId="1" applyNumberFormat="1" applyFont="1" applyBorder="1" applyAlignment="1">
      <alignment horizontal="right" vertical="center" wrapText="1"/>
    </xf>
    <xf numFmtId="8" fontId="0" fillId="3" borderId="2" xfId="0" applyNumberFormat="1" applyFill="1" applyBorder="1"/>
    <xf numFmtId="8" fontId="4" fillId="3" borderId="2" xfId="1" applyNumberFormat="1" applyFont="1" applyFill="1" applyBorder="1" applyAlignment="1">
      <alignment horizontal="right" vertical="center" wrapText="1"/>
    </xf>
    <xf numFmtId="0" fontId="0" fillId="2" borderId="2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0" borderId="2" xfId="0" applyBorder="1" applyAlignment="1">
      <alignment vertical="center" wrapText="1"/>
    </xf>
    <xf numFmtId="44" fontId="0" fillId="0" borderId="0" xfId="1" applyFont="1" applyFill="1" applyBorder="1"/>
    <xf numFmtId="164" fontId="0" fillId="2" borderId="2" xfId="1" applyNumberFormat="1" applyFont="1" applyFill="1" applyBorder="1"/>
    <xf numFmtId="0" fontId="2" fillId="0" borderId="0" xfId="0" applyFont="1" applyAlignment="1">
      <alignment horizontal="left" vertical="top" wrapText="1"/>
    </xf>
    <xf numFmtId="9" fontId="2" fillId="0" borderId="0" xfId="0" applyNumberFormat="1" applyFont="1" applyAlignment="1">
      <alignment horizontal="center" vertical="top" wrapText="1"/>
    </xf>
    <xf numFmtId="164" fontId="0" fillId="0" borderId="0" xfId="1" applyNumberFormat="1" applyFont="1" applyFill="1" applyBorder="1"/>
    <xf numFmtId="0" fontId="1" fillId="0" borderId="2" xfId="0" applyFont="1" applyBorder="1" applyAlignment="1">
      <alignment horizontal="center"/>
    </xf>
    <xf numFmtId="9" fontId="2" fillId="0" borderId="2" xfId="0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2" fontId="0" fillId="0" borderId="2" xfId="0" applyNumberFormat="1" applyBorder="1"/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horizontal="center" vertical="top" wrapText="1"/>
    </xf>
    <xf numFmtId="6" fontId="0" fillId="0" borderId="2" xfId="0" applyNumberFormat="1" applyBorder="1" applyAlignment="1">
      <alignment horizontal="center"/>
    </xf>
    <xf numFmtId="6" fontId="0" fillId="0" borderId="2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164" fontId="0" fillId="0" borderId="2" xfId="1" applyNumberFormat="1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4" borderId="3" xfId="0" applyFill="1" applyBorder="1" applyAlignment="1">
      <alignment wrapText="1"/>
    </xf>
    <xf numFmtId="44" fontId="0" fillId="4" borderId="3" xfId="1" applyFont="1" applyFill="1" applyBorder="1"/>
    <xf numFmtId="44" fontId="0" fillId="4" borderId="6" xfId="1" applyFont="1" applyFill="1" applyBorder="1"/>
    <xf numFmtId="0" fontId="0" fillId="0" borderId="2" xfId="0" applyBorder="1" applyAlignment="1">
      <alignment horizontal="left" wrapText="1"/>
    </xf>
    <xf numFmtId="0" fontId="5" fillId="0" borderId="2" xfId="0" applyFont="1" applyBorder="1" applyAlignment="1">
      <alignment horizontal="center" wrapText="1"/>
    </xf>
    <xf numFmtId="9" fontId="0" fillId="0" borderId="2" xfId="0" applyNumberFormat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164" fontId="0" fillId="0" borderId="2" xfId="1" applyNumberFormat="1" applyFont="1" applyBorder="1" applyAlignment="1">
      <alignment horizontal="center" wrapText="1"/>
    </xf>
    <xf numFmtId="164" fontId="0" fillId="0" borderId="2" xfId="0" applyNumberFormat="1" applyBorder="1" applyAlignment="1">
      <alignment horizontal="center" wrapText="1"/>
    </xf>
    <xf numFmtId="164" fontId="6" fillId="2" borderId="2" xfId="0" applyNumberFormat="1" applyFont="1" applyFill="1" applyBorder="1"/>
    <xf numFmtId="164" fontId="6" fillId="3" borderId="2" xfId="0" applyNumberFormat="1" applyFont="1" applyFill="1" applyBorder="1"/>
    <xf numFmtId="8" fontId="8" fillId="0" borderId="0" xfId="0" applyNumberFormat="1" applyFont="1"/>
    <xf numFmtId="0" fontId="8" fillId="0" borderId="0" xfId="0" applyFont="1"/>
    <xf numFmtId="44" fontId="8" fillId="0" borderId="0" xfId="0" applyNumberFormat="1" applyFont="1"/>
    <xf numFmtId="44" fontId="0" fillId="0" borderId="0" xfId="1" applyFont="1"/>
    <xf numFmtId="10" fontId="8" fillId="0" borderId="0" xfId="0" applyNumberFormat="1" applyFont="1"/>
    <xf numFmtId="10" fontId="7" fillId="0" borderId="0" xfId="0" applyNumberFormat="1" applyFont="1"/>
    <xf numFmtId="164" fontId="0" fillId="3" borderId="2" xfId="1" applyNumberFormat="1" applyFont="1" applyFill="1" applyBorder="1"/>
    <xf numFmtId="164" fontId="0" fillId="4" borderId="2" xfId="1" applyNumberFormat="1" applyFont="1" applyFill="1" applyBorder="1"/>
    <xf numFmtId="164" fontId="0" fillId="4" borderId="3" xfId="1" applyNumberFormat="1" applyFont="1" applyFill="1" applyBorder="1"/>
    <xf numFmtId="164" fontId="6" fillId="0" borderId="2" xfId="0" applyNumberFormat="1" applyFont="1" applyBorder="1"/>
    <xf numFmtId="164" fontId="0" fillId="4" borderId="2" xfId="0" applyNumberFormat="1" applyFill="1" applyBorder="1"/>
    <xf numFmtId="164" fontId="0" fillId="4" borderId="3" xfId="0" applyNumberFormat="1" applyFill="1" applyBorder="1"/>
    <xf numFmtId="164" fontId="7" fillId="0" borderId="2" xfId="0" applyNumberFormat="1" applyFont="1" applyBorder="1"/>
    <xf numFmtId="9" fontId="2" fillId="0" borderId="1" xfId="0" applyNumberFormat="1" applyFont="1" applyBorder="1" applyAlignment="1">
      <alignment horizontal="center" vertical="top" wrapText="1"/>
    </xf>
    <xf numFmtId="10" fontId="0" fillId="0" borderId="2" xfId="0" applyNumberFormat="1" applyBorder="1" applyAlignment="1">
      <alignment horizontal="center" wrapText="1"/>
    </xf>
    <xf numFmtId="164" fontId="8" fillId="0" borderId="0" xfId="1" applyNumberFormat="1" applyFont="1" applyFill="1" applyBorder="1"/>
    <xf numFmtId="164" fontId="0" fillId="0" borderId="0" xfId="0" applyNumberFormat="1"/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0" fillId="0" borderId="7" xfId="0" applyBorder="1"/>
    <xf numFmtId="0" fontId="0" fillId="0" borderId="0" xfId="0"/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Number of Cameras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Sensitivity_Analysis!$C$53:$C$61</c:f>
              <c:numCache>
                <c:formatCode>0%</c:formatCode>
                <c:ptCount val="9"/>
                <c:pt idx="0">
                  <c:v>-0.2</c:v>
                </c:pt>
                <c:pt idx="1">
                  <c:v>-0.15</c:v>
                </c:pt>
                <c:pt idx="2">
                  <c:v>-0.1</c:v>
                </c:pt>
                <c:pt idx="3">
                  <c:v>-0.05</c:v>
                </c:pt>
                <c:pt idx="4">
                  <c:v>0</c:v>
                </c:pt>
                <c:pt idx="5">
                  <c:v>0.05</c:v>
                </c:pt>
                <c:pt idx="6">
                  <c:v>0.1</c:v>
                </c:pt>
                <c:pt idx="7">
                  <c:v>0.15</c:v>
                </c:pt>
                <c:pt idx="8">
                  <c:v>0.2</c:v>
                </c:pt>
              </c:numCache>
            </c:numRef>
          </c:xVal>
          <c:yVal>
            <c:numRef>
              <c:f>Sensitivity_Analysis!$E$53:$E$61</c:f>
              <c:numCache>
                <c:formatCode>"$"#,##0.00</c:formatCode>
                <c:ptCount val="9"/>
                <c:pt idx="0">
                  <c:v>3610537.4436865808</c:v>
                </c:pt>
                <c:pt idx="1">
                  <c:v>3583423.9735782542</c:v>
                </c:pt>
                <c:pt idx="2">
                  <c:v>3556310.5034699268</c:v>
                </c:pt>
                <c:pt idx="3">
                  <c:v>3529197.0333615993</c:v>
                </c:pt>
                <c:pt idx="4">
                  <c:v>3502083.5632532728</c:v>
                </c:pt>
                <c:pt idx="5">
                  <c:v>3474970.0931449453</c:v>
                </c:pt>
                <c:pt idx="6">
                  <c:v>3447856.6230366188</c:v>
                </c:pt>
                <c:pt idx="7">
                  <c:v>3420743.1529282914</c:v>
                </c:pt>
                <c:pt idx="8">
                  <c:v>3393629.6828199639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52-42AF-B4A9-A98BA97A2152}"/>
            </c:ext>
          </c:extLst>
        </c:ser>
        <c:ser>
          <c:idx val="1"/>
          <c:order val="1"/>
          <c:tx>
            <c:v>TBs of storage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Sensitivity_Analysis!$C$53:$C$61</c:f>
              <c:numCache>
                <c:formatCode>0%</c:formatCode>
                <c:ptCount val="9"/>
                <c:pt idx="0">
                  <c:v>-0.2</c:v>
                </c:pt>
                <c:pt idx="1">
                  <c:v>-0.15</c:v>
                </c:pt>
                <c:pt idx="2">
                  <c:v>-0.1</c:v>
                </c:pt>
                <c:pt idx="3">
                  <c:v>-0.05</c:v>
                </c:pt>
                <c:pt idx="4">
                  <c:v>0</c:v>
                </c:pt>
                <c:pt idx="5">
                  <c:v>0.05</c:v>
                </c:pt>
                <c:pt idx="6">
                  <c:v>0.1</c:v>
                </c:pt>
                <c:pt idx="7">
                  <c:v>0.15</c:v>
                </c:pt>
                <c:pt idx="8">
                  <c:v>0.2</c:v>
                </c:pt>
              </c:numCache>
            </c:numRef>
          </c:xVal>
          <c:yVal>
            <c:numRef>
              <c:f>Sensitivity_Analysis!$G$53:$G$61</c:f>
              <c:numCache>
                <c:formatCode>"$"#,##0.00</c:formatCode>
                <c:ptCount val="9"/>
                <c:pt idx="0">
                  <c:v>3598932.9589669057</c:v>
                </c:pt>
                <c:pt idx="1">
                  <c:v>3574720.610038497</c:v>
                </c:pt>
                <c:pt idx="2">
                  <c:v>3550508.2611100888</c:v>
                </c:pt>
                <c:pt idx="3">
                  <c:v>3526295.9121816806</c:v>
                </c:pt>
                <c:pt idx="4">
                  <c:v>3502083.5632532728</c:v>
                </c:pt>
                <c:pt idx="5">
                  <c:v>3477871.2143248641</c:v>
                </c:pt>
                <c:pt idx="6">
                  <c:v>3453658.8653964563</c:v>
                </c:pt>
                <c:pt idx="7">
                  <c:v>3429446.5164680486</c:v>
                </c:pt>
                <c:pt idx="8">
                  <c:v>3405234.1675396403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52-42AF-B4A9-A98BA97A2152}"/>
            </c:ext>
          </c:extLst>
        </c:ser>
        <c:ser>
          <c:idx val="2"/>
          <c:order val="2"/>
          <c:tx>
            <c:v>Required Network Bandwidth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Sensitivity_Analysis!$C$53:$C$61</c:f>
              <c:numCache>
                <c:formatCode>0%</c:formatCode>
                <c:ptCount val="9"/>
                <c:pt idx="0">
                  <c:v>-0.2</c:v>
                </c:pt>
                <c:pt idx="1">
                  <c:v>-0.15</c:v>
                </c:pt>
                <c:pt idx="2">
                  <c:v>-0.1</c:v>
                </c:pt>
                <c:pt idx="3">
                  <c:v>-0.05</c:v>
                </c:pt>
                <c:pt idx="4">
                  <c:v>0</c:v>
                </c:pt>
                <c:pt idx="5">
                  <c:v>0.05</c:v>
                </c:pt>
                <c:pt idx="6">
                  <c:v>0.1</c:v>
                </c:pt>
                <c:pt idx="7">
                  <c:v>0.15</c:v>
                </c:pt>
                <c:pt idx="8">
                  <c:v>0.2</c:v>
                </c:pt>
              </c:numCache>
            </c:numRef>
          </c:xVal>
          <c:yVal>
            <c:numRef>
              <c:f>Sensitivity_Analysis!$I$53:$I$61</c:f>
              <c:numCache>
                <c:formatCode>"$"#,##0.00</c:formatCode>
                <c:ptCount val="9"/>
                <c:pt idx="0">
                  <c:v>3502657.7688607494</c:v>
                </c:pt>
                <c:pt idx="1">
                  <c:v>3502657.7688607494</c:v>
                </c:pt>
                <c:pt idx="2">
                  <c:v>3502657.7688607494</c:v>
                </c:pt>
                <c:pt idx="3">
                  <c:v>3502657.7688607494</c:v>
                </c:pt>
                <c:pt idx="4">
                  <c:v>3502083.5632532728</c:v>
                </c:pt>
                <c:pt idx="5">
                  <c:v>3502083.5632532728</c:v>
                </c:pt>
                <c:pt idx="6">
                  <c:v>3502083.5632532728</c:v>
                </c:pt>
                <c:pt idx="7">
                  <c:v>3502083.5632532728</c:v>
                </c:pt>
                <c:pt idx="8">
                  <c:v>3501509.3576457961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52-42AF-B4A9-A98BA97A2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115920"/>
        <c:axId val="409116400"/>
      </c:scatterChart>
      <c:valAx>
        <c:axId val="40911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Change in Parameter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116400"/>
        <c:crossesAt val="-1900000"/>
        <c:crossBetween val="midCat"/>
      </c:valAx>
      <c:valAx>
        <c:axId val="40911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Present Worth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115920"/>
        <c:crossesAt val="-0.25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E84229B6-B711-4727-A34D-BDE5B1360563}">
          <cx:spPr>
            <a:solidFill>
              <a:schemeClr val="accent2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1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100"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1295399</xdr:colOff>
      <xdr:row>43</xdr:row>
      <xdr:rowOff>128588</xdr:rowOff>
    </xdr:from>
    <xdr:to>
      <xdr:col>13</xdr:col>
      <xdr:colOff>1657349</xdr:colOff>
      <xdr:row>68</xdr:row>
      <xdr:rowOff>66675</xdr:rowOff>
    </xdr:to>
    <xdr:graphicFrame macro="">
      <xdr:nvGraphicFramePr>
        <xdr:cNvPr id="49" name="Chart 2">
          <a:extLst>
            <a:ext uri="{FF2B5EF4-FFF2-40B4-BE49-F238E27FC236}">
              <a16:creationId xmlns:a16="http://schemas.microsoft.com/office/drawing/2014/main" id="{92901D09-03E5-78C1-2302-9C18ECD2D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11</xdr:col>
      <xdr:colOff>693420</xdr:colOff>
      <xdr:row>30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88508D0-0B1A-4BCB-8D79-6DD548AE55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59480" y="2194560"/>
              <a:ext cx="6797040" cy="3459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9D5E-A90B-4753-92EF-AB690E2C60C4}">
  <dimension ref="A1:AC52"/>
  <sheetViews>
    <sheetView zoomScale="48" zoomScaleNormal="85" workbookViewId="0">
      <selection activeCell="E18" sqref="E18"/>
    </sheetView>
  </sheetViews>
  <sheetFormatPr defaultRowHeight="14.4" x14ac:dyDescent="0.3"/>
  <cols>
    <col min="1" max="1" width="33.6640625" bestFit="1" customWidth="1"/>
    <col min="2" max="2" width="19.109375" bestFit="1" customWidth="1"/>
    <col min="3" max="3" width="17.33203125" customWidth="1"/>
    <col min="4" max="4" width="20.109375" customWidth="1"/>
    <col min="5" max="5" width="30.88671875" bestFit="1" customWidth="1"/>
    <col min="6" max="6" width="26.33203125" customWidth="1"/>
    <col min="7" max="7" width="17" bestFit="1" customWidth="1"/>
    <col min="8" max="8" width="13.33203125" customWidth="1"/>
    <col min="9" max="9" width="11.88671875" bestFit="1" customWidth="1"/>
    <col min="10" max="11" width="12.6640625" bestFit="1" customWidth="1"/>
    <col min="12" max="13" width="11.88671875" customWidth="1"/>
    <col min="14" max="14" width="15.5546875" customWidth="1"/>
    <col min="15" max="15" width="15.88671875" customWidth="1"/>
    <col min="16" max="16" width="11.88671875" customWidth="1"/>
    <col min="17" max="17" width="13.88671875" customWidth="1"/>
    <col min="18" max="18" width="15.33203125" customWidth="1"/>
    <col min="19" max="19" width="10.109375" customWidth="1"/>
    <col min="20" max="20" width="11.33203125" customWidth="1"/>
    <col min="21" max="21" width="14.33203125" bestFit="1" customWidth="1"/>
    <col min="22" max="22" width="18.109375" customWidth="1"/>
    <col min="23" max="23" width="32.44140625" customWidth="1"/>
    <col min="24" max="24" width="16.44140625" customWidth="1"/>
    <col min="25" max="25" width="18.5546875" customWidth="1"/>
    <col min="26" max="26" width="18.6640625" customWidth="1"/>
    <col min="27" max="27" width="21.88671875" customWidth="1"/>
  </cols>
  <sheetData>
    <row r="1" spans="1:29" x14ac:dyDescent="0.3">
      <c r="B1" s="8"/>
      <c r="C1" s="78" t="s">
        <v>30</v>
      </c>
      <c r="D1" s="79"/>
      <c r="E1" s="79"/>
      <c r="F1" s="80"/>
      <c r="G1" s="81" t="s">
        <v>47</v>
      </c>
      <c r="H1" s="82"/>
      <c r="I1" s="82"/>
      <c r="J1" s="82"/>
      <c r="K1" s="82"/>
      <c r="L1" s="82"/>
      <c r="M1" s="82"/>
      <c r="N1" s="82"/>
      <c r="O1" s="82"/>
      <c r="P1" s="82"/>
      <c r="Q1" s="83" t="s">
        <v>64</v>
      </c>
      <c r="R1" s="84"/>
      <c r="S1" s="84"/>
      <c r="T1" s="84"/>
      <c r="U1" s="84"/>
      <c r="V1" s="8"/>
      <c r="X1" s="85" t="s">
        <v>87</v>
      </c>
      <c r="Y1" s="85"/>
      <c r="Z1" s="85"/>
      <c r="AA1" s="85"/>
      <c r="AB1" s="86"/>
      <c r="AC1" s="86"/>
    </row>
    <row r="2" spans="1:29" ht="120.75" customHeight="1" x14ac:dyDescent="0.3">
      <c r="B2" s="13" t="s">
        <v>15</v>
      </c>
      <c r="C2" s="29" t="s">
        <v>31</v>
      </c>
      <c r="D2" s="17" t="s">
        <v>36</v>
      </c>
      <c r="E2" s="17" t="s">
        <v>40</v>
      </c>
      <c r="F2" s="29" t="s">
        <v>97</v>
      </c>
      <c r="G2" s="30" t="s">
        <v>48</v>
      </c>
      <c r="H2" s="30" t="s">
        <v>52</v>
      </c>
      <c r="I2" s="30" t="s">
        <v>56</v>
      </c>
      <c r="J2" s="56" t="s">
        <v>82</v>
      </c>
      <c r="K2" s="56" t="s">
        <v>99</v>
      </c>
      <c r="L2" s="56" t="s">
        <v>100</v>
      </c>
      <c r="M2" s="56" t="s">
        <v>83</v>
      </c>
      <c r="N2" s="56" t="s">
        <v>102</v>
      </c>
      <c r="O2" s="56" t="s">
        <v>84</v>
      </c>
      <c r="P2" s="56" t="s">
        <v>103</v>
      </c>
      <c r="Q2" s="31" t="s">
        <v>65</v>
      </c>
      <c r="R2" s="31" t="s">
        <v>69</v>
      </c>
      <c r="S2" s="31" t="s">
        <v>70</v>
      </c>
      <c r="T2" s="31" t="s">
        <v>71</v>
      </c>
      <c r="U2" s="50" t="s">
        <v>72</v>
      </c>
      <c r="V2" s="32" t="s">
        <v>19</v>
      </c>
      <c r="X2" s="43" t="s">
        <v>99</v>
      </c>
      <c r="Y2" s="43" t="s">
        <v>100</v>
      </c>
      <c r="Z2" s="43" t="s">
        <v>102</v>
      </c>
      <c r="AA2" s="43" t="s">
        <v>103</v>
      </c>
    </row>
    <row r="3" spans="1:29" x14ac:dyDescent="0.3">
      <c r="A3" s="87"/>
      <c r="B3" s="13">
        <v>1</v>
      </c>
      <c r="C3" s="59">
        <f>-F$25*B25</f>
        <v>-32300</v>
      </c>
      <c r="D3" s="59">
        <f>-B26*F26</f>
        <v>-102948</v>
      </c>
      <c r="E3" s="59">
        <f>-B28*F28</f>
        <v>-3000</v>
      </c>
      <c r="F3" s="34">
        <f>-IF($E$50,G50,0)</f>
        <v>0</v>
      </c>
      <c r="G3" s="60">
        <f>-$B$25*$F$29</f>
        <v>-64600</v>
      </c>
      <c r="H3" s="60">
        <f>-($F$38+$F$39+$F$40)/3-IF(E$49,G$49,0)</f>
        <v>-98391.666666666672</v>
      </c>
      <c r="I3" s="60">
        <f>-$B$26*F$33*F$34</f>
        <v>-48728.719999999994</v>
      </c>
      <c r="J3" s="67">
        <f>-IF($E$47,$G$47,0)</f>
        <v>0</v>
      </c>
      <c r="K3" s="67">
        <f ca="1">-X3</f>
        <v>-45000</v>
      </c>
      <c r="L3" s="67">
        <f ca="1">-Y3</f>
        <v>0</v>
      </c>
      <c r="M3" s="67">
        <f>-IF($E$48,$G$48,0)</f>
        <v>0</v>
      </c>
      <c r="N3" s="67">
        <f ca="1">-Z3</f>
        <v>-200000</v>
      </c>
      <c r="O3" s="67">
        <f>-IF($E$49,$G$49,0)</f>
        <v>0</v>
      </c>
      <c r="P3" s="67">
        <f ca="1">-AA3</f>
        <v>0</v>
      </c>
      <c r="Q3" s="68">
        <v>0</v>
      </c>
      <c r="R3" s="68">
        <v>0</v>
      </c>
      <c r="S3" s="68">
        <v>0</v>
      </c>
      <c r="T3" s="68">
        <v>0</v>
      </c>
      <c r="U3" s="69">
        <v>0</v>
      </c>
      <c r="V3" s="70">
        <f t="shared" ref="V3:V12" ca="1" si="0">SUM(C3:U3)*(1+$B$30)^B3</f>
        <v>-609247.62794666667</v>
      </c>
      <c r="X3" s="25">
        <f t="shared" ref="X3:X12" ca="1" si="1">IF(RAND() &lt; ($B$47-IF($E$47, $I$47, 0)), $C$47, 0)</f>
        <v>45000</v>
      </c>
      <c r="Y3" s="25">
        <f t="shared" ref="Y3:Y12" ca="1" si="2">IF(RAND() &lt; ($B$48-IF($E$48, $I$48, 0)), $C$48, 0)</f>
        <v>0</v>
      </c>
      <c r="Z3" s="25">
        <f t="shared" ref="Z3:Z12" ca="1" si="3">IF(RAND() &lt; ($B$49-IF($E$49, $I$49, 0)), $C$49, 0)</f>
        <v>200000</v>
      </c>
      <c r="AA3" s="25">
        <f t="shared" ref="AA3:AA12" ca="1" si="4">IF(RAND() &lt; ($B$50-IF($E$50, $I$50, 0)), $C$50, 0)</f>
        <v>0</v>
      </c>
    </row>
    <row r="4" spans="1:29" x14ac:dyDescent="0.3">
      <c r="A4" s="87"/>
      <c r="B4" s="13">
        <v>2</v>
      </c>
      <c r="C4" s="34">
        <v>0</v>
      </c>
      <c r="D4" s="34">
        <v>0</v>
      </c>
      <c r="E4" s="34">
        <v>0</v>
      </c>
      <c r="F4" s="34">
        <v>0</v>
      </c>
      <c r="G4" s="60">
        <f t="shared" ref="G4:G12" si="5">-$B$25*$F$29</f>
        <v>-64600</v>
      </c>
      <c r="H4" s="60">
        <f t="shared" ref="H4:H12" si="6">-($F$38+$F$39+$F$40)/3-IF(E$49,G$49,0)</f>
        <v>-98391.666666666672</v>
      </c>
      <c r="I4" s="60">
        <f t="shared" ref="I4:I12" si="7">-$B$26*F$33*F$34</f>
        <v>-48728.719999999994</v>
      </c>
      <c r="J4" s="67">
        <f t="shared" ref="J4:J12" si="8">-IF($E$47,$G$47,0)</f>
        <v>0</v>
      </c>
      <c r="K4" s="67">
        <f t="shared" ref="K4:K12" ca="1" si="9">-X4</f>
        <v>-45000</v>
      </c>
      <c r="L4" s="67">
        <f t="shared" ref="L4:L12" ca="1" si="10">-Y4</f>
        <v>0</v>
      </c>
      <c r="M4" s="67">
        <f t="shared" ref="M4:M12" si="11">-IF($E$48,$G$48,0)</f>
        <v>0</v>
      </c>
      <c r="N4" s="67">
        <f t="shared" ref="N4:N12" ca="1" si="12">-Z4</f>
        <v>0</v>
      </c>
      <c r="O4" s="67">
        <f t="shared" ref="O4:O12" si="13">-IF($E$49,$G$49,0)</f>
        <v>0</v>
      </c>
      <c r="P4" s="67">
        <f t="shared" ref="P4:P12" ca="1" si="14">-AA4</f>
        <v>0</v>
      </c>
      <c r="Q4" s="71">
        <f t="shared" ref="Q4:Q12" si="15">F$30*5*8*365</f>
        <v>511000</v>
      </c>
      <c r="R4" s="71">
        <f t="shared" ref="R4:R12" si="16">F$30*365*24*(1-0.99)</f>
        <v>3066.0000000000027</v>
      </c>
      <c r="S4" s="71">
        <f t="shared" ref="S4:S12" si="17">F$35*F$31</f>
        <v>1000</v>
      </c>
      <c r="T4" s="71">
        <f t="shared" ref="T4:T12" si="18">F$36*F$32</f>
        <v>2767.53</v>
      </c>
      <c r="U4" s="72">
        <f t="shared" ref="U4:U12" si="19">(1-F$37)*F$30*24*365</f>
        <v>245280</v>
      </c>
      <c r="V4" s="73">
        <f t="shared" ca="1" si="0"/>
        <v>530991.69666389329</v>
      </c>
      <c r="X4" s="25">
        <f t="shared" ca="1" si="1"/>
        <v>45000</v>
      </c>
      <c r="Y4" s="25">
        <f t="shared" ca="1" si="2"/>
        <v>0</v>
      </c>
      <c r="Z4" s="25">
        <f t="shared" ca="1" si="3"/>
        <v>0</v>
      </c>
      <c r="AA4" s="25">
        <f t="shared" ca="1" si="4"/>
        <v>0</v>
      </c>
    </row>
    <row r="5" spans="1:29" x14ac:dyDescent="0.3">
      <c r="A5" s="87"/>
      <c r="B5" s="13">
        <v>3</v>
      </c>
      <c r="C5" s="34">
        <v>0</v>
      </c>
      <c r="D5" s="34">
        <v>0</v>
      </c>
      <c r="E5" s="34">
        <v>0</v>
      </c>
      <c r="F5" s="34">
        <v>0</v>
      </c>
      <c r="G5" s="60">
        <f t="shared" si="5"/>
        <v>-64600</v>
      </c>
      <c r="H5" s="60">
        <f>-($F$38+$F$39+$F$40)/3-IF(E$49,G$49,0)</f>
        <v>-98391.666666666672</v>
      </c>
      <c r="I5" s="60">
        <f t="shared" si="7"/>
        <v>-48728.719999999994</v>
      </c>
      <c r="J5" s="67">
        <f t="shared" si="8"/>
        <v>0</v>
      </c>
      <c r="K5" s="67">
        <f t="shared" ca="1" si="9"/>
        <v>0</v>
      </c>
      <c r="L5" s="67">
        <f t="shared" ca="1" si="10"/>
        <v>0</v>
      </c>
      <c r="M5" s="67">
        <f t="shared" si="11"/>
        <v>0</v>
      </c>
      <c r="N5" s="67">
        <f t="shared" ca="1" si="12"/>
        <v>-200000</v>
      </c>
      <c r="O5" s="67">
        <f t="shared" si="13"/>
        <v>0</v>
      </c>
      <c r="P5" s="67">
        <f t="shared" ca="1" si="14"/>
        <v>0</v>
      </c>
      <c r="Q5" s="71">
        <f t="shared" si="15"/>
        <v>511000</v>
      </c>
      <c r="R5" s="71">
        <f t="shared" si="16"/>
        <v>3066.0000000000027</v>
      </c>
      <c r="S5" s="71">
        <f t="shared" si="17"/>
        <v>1000</v>
      </c>
      <c r="T5" s="71">
        <f t="shared" si="18"/>
        <v>2767.53</v>
      </c>
      <c r="U5" s="72">
        <f t="shared" si="19"/>
        <v>245280</v>
      </c>
      <c r="V5" s="73">
        <f t="shared" ca="1" si="0"/>
        <v>377305.51466382679</v>
      </c>
      <c r="X5" s="25">
        <f t="shared" ca="1" si="1"/>
        <v>0</v>
      </c>
      <c r="Y5" s="25">
        <f t="shared" ca="1" si="2"/>
        <v>0</v>
      </c>
      <c r="Z5" s="25">
        <f t="shared" ca="1" si="3"/>
        <v>200000</v>
      </c>
      <c r="AA5" s="25">
        <f t="shared" ca="1" si="4"/>
        <v>0</v>
      </c>
    </row>
    <row r="6" spans="1:29" x14ac:dyDescent="0.3">
      <c r="A6" s="87"/>
      <c r="B6" s="13">
        <v>4</v>
      </c>
      <c r="C6" s="34">
        <v>0</v>
      </c>
      <c r="D6" s="34">
        <v>0</v>
      </c>
      <c r="E6" s="34">
        <v>0</v>
      </c>
      <c r="F6" s="34">
        <v>0</v>
      </c>
      <c r="G6" s="60">
        <f t="shared" si="5"/>
        <v>-64600</v>
      </c>
      <c r="H6" s="60">
        <f t="shared" si="6"/>
        <v>-98391.666666666672</v>
      </c>
      <c r="I6" s="60">
        <f t="shared" si="7"/>
        <v>-48728.719999999994</v>
      </c>
      <c r="J6" s="67">
        <f t="shared" si="8"/>
        <v>0</v>
      </c>
      <c r="K6" s="67">
        <f t="shared" ca="1" si="9"/>
        <v>0</v>
      </c>
      <c r="L6" s="67">
        <f t="shared" ca="1" si="10"/>
        <v>0</v>
      </c>
      <c r="M6" s="67">
        <f t="shared" si="11"/>
        <v>0</v>
      </c>
      <c r="N6" s="67">
        <f t="shared" ca="1" si="12"/>
        <v>-200000</v>
      </c>
      <c r="O6" s="67">
        <f t="shared" si="13"/>
        <v>0</v>
      </c>
      <c r="P6" s="67">
        <f t="shared" ca="1" si="14"/>
        <v>0</v>
      </c>
      <c r="Q6" s="71">
        <f t="shared" si="15"/>
        <v>511000</v>
      </c>
      <c r="R6" s="71">
        <f t="shared" si="16"/>
        <v>3066.0000000000027</v>
      </c>
      <c r="S6" s="71">
        <f t="shared" si="17"/>
        <v>1000</v>
      </c>
      <c r="T6" s="71">
        <f t="shared" si="18"/>
        <v>2767.53</v>
      </c>
      <c r="U6" s="72">
        <f t="shared" si="19"/>
        <v>245280</v>
      </c>
      <c r="V6" s="73">
        <f t="shared" ca="1" si="0"/>
        <v>386360.84701575857</v>
      </c>
      <c r="X6" s="25">
        <f t="shared" ca="1" si="1"/>
        <v>0</v>
      </c>
      <c r="Y6" s="25">
        <f t="shared" ca="1" si="2"/>
        <v>0</v>
      </c>
      <c r="Z6" s="25">
        <f t="shared" ca="1" si="3"/>
        <v>200000</v>
      </c>
      <c r="AA6" s="25">
        <f t="shared" ca="1" si="4"/>
        <v>0</v>
      </c>
    </row>
    <row r="7" spans="1:29" x14ac:dyDescent="0.3">
      <c r="A7" s="87"/>
      <c r="B7" s="13">
        <v>5</v>
      </c>
      <c r="C7" s="34">
        <v>0</v>
      </c>
      <c r="D7" s="34">
        <v>0</v>
      </c>
      <c r="E7" s="34">
        <v>0</v>
      </c>
      <c r="F7" s="34">
        <v>0</v>
      </c>
      <c r="G7" s="60">
        <f t="shared" si="5"/>
        <v>-64600</v>
      </c>
      <c r="H7" s="60">
        <f t="shared" si="6"/>
        <v>-98391.666666666672</v>
      </c>
      <c r="I7" s="60">
        <f t="shared" si="7"/>
        <v>-48728.719999999994</v>
      </c>
      <c r="J7" s="67">
        <f t="shared" si="8"/>
        <v>0</v>
      </c>
      <c r="K7" s="67">
        <f t="shared" ca="1" si="9"/>
        <v>-45000</v>
      </c>
      <c r="L7" s="67">
        <f t="shared" ca="1" si="10"/>
        <v>0</v>
      </c>
      <c r="M7" s="67">
        <f t="shared" si="11"/>
        <v>0</v>
      </c>
      <c r="N7" s="67">
        <f t="shared" ca="1" si="12"/>
        <v>-200000</v>
      </c>
      <c r="O7" s="67">
        <f t="shared" si="13"/>
        <v>0</v>
      </c>
      <c r="P7" s="67">
        <f t="shared" ca="1" si="14"/>
        <v>0</v>
      </c>
      <c r="Q7" s="71">
        <f t="shared" si="15"/>
        <v>511000</v>
      </c>
      <c r="R7" s="71">
        <f t="shared" si="16"/>
        <v>3066.0000000000027</v>
      </c>
      <c r="S7" s="71">
        <f t="shared" si="17"/>
        <v>1000</v>
      </c>
      <c r="T7" s="71">
        <f t="shared" si="18"/>
        <v>2767.53</v>
      </c>
      <c r="U7" s="72">
        <f t="shared" si="19"/>
        <v>245280</v>
      </c>
      <c r="V7" s="73">
        <f t="shared" ca="1" si="0"/>
        <v>344968.01153621875</v>
      </c>
      <c r="X7" s="25">
        <f t="shared" ca="1" si="1"/>
        <v>45000</v>
      </c>
      <c r="Y7" s="25">
        <f t="shared" ca="1" si="2"/>
        <v>0</v>
      </c>
      <c r="Z7" s="25">
        <f t="shared" ca="1" si="3"/>
        <v>200000</v>
      </c>
      <c r="AA7" s="25">
        <f t="shared" ca="1" si="4"/>
        <v>0</v>
      </c>
    </row>
    <row r="8" spans="1:29" x14ac:dyDescent="0.3">
      <c r="B8" s="13">
        <v>6</v>
      </c>
      <c r="C8" s="34">
        <v>0</v>
      </c>
      <c r="D8" s="34">
        <v>0</v>
      </c>
      <c r="E8" s="34">
        <v>0</v>
      </c>
      <c r="F8" s="34">
        <v>0</v>
      </c>
      <c r="G8" s="60">
        <f t="shared" si="5"/>
        <v>-64600</v>
      </c>
      <c r="H8" s="60">
        <f t="shared" si="6"/>
        <v>-98391.666666666672</v>
      </c>
      <c r="I8" s="60">
        <f t="shared" si="7"/>
        <v>-48728.719999999994</v>
      </c>
      <c r="J8" s="67">
        <f t="shared" si="8"/>
        <v>0</v>
      </c>
      <c r="K8" s="67">
        <f t="shared" ca="1" si="9"/>
        <v>0</v>
      </c>
      <c r="L8" s="67">
        <f t="shared" ca="1" si="10"/>
        <v>0</v>
      </c>
      <c r="M8" s="67">
        <f t="shared" si="11"/>
        <v>0</v>
      </c>
      <c r="N8" s="67">
        <f t="shared" ca="1" si="12"/>
        <v>-200000</v>
      </c>
      <c r="O8" s="67">
        <f t="shared" si="13"/>
        <v>0</v>
      </c>
      <c r="P8" s="67">
        <f t="shared" ca="1" si="14"/>
        <v>0</v>
      </c>
      <c r="Q8" s="71">
        <f t="shared" si="15"/>
        <v>511000</v>
      </c>
      <c r="R8" s="71">
        <f t="shared" si="16"/>
        <v>3066.0000000000027</v>
      </c>
      <c r="S8" s="71">
        <f t="shared" si="17"/>
        <v>1000</v>
      </c>
      <c r="T8" s="71">
        <f t="shared" si="18"/>
        <v>2767.53</v>
      </c>
      <c r="U8" s="72">
        <f t="shared" si="19"/>
        <v>245280</v>
      </c>
      <c r="V8" s="73">
        <f t="shared" ca="1" si="0"/>
        <v>405128.71152039606</v>
      </c>
      <c r="X8" s="25">
        <f t="shared" ca="1" si="1"/>
        <v>0</v>
      </c>
      <c r="Y8" s="25">
        <f t="shared" ca="1" si="2"/>
        <v>0</v>
      </c>
      <c r="Z8" s="25">
        <f t="shared" ca="1" si="3"/>
        <v>200000</v>
      </c>
      <c r="AA8" s="25">
        <f t="shared" ca="1" si="4"/>
        <v>0</v>
      </c>
    </row>
    <row r="9" spans="1:29" x14ac:dyDescent="0.3">
      <c r="B9" s="13">
        <v>7</v>
      </c>
      <c r="C9" s="34">
        <v>0</v>
      </c>
      <c r="D9" s="34">
        <v>0</v>
      </c>
      <c r="E9" s="34">
        <v>0</v>
      </c>
      <c r="F9" s="34">
        <v>0</v>
      </c>
      <c r="G9" s="60">
        <f t="shared" si="5"/>
        <v>-64600</v>
      </c>
      <c r="H9" s="60">
        <f t="shared" si="6"/>
        <v>-98391.666666666672</v>
      </c>
      <c r="I9" s="60">
        <f t="shared" si="7"/>
        <v>-48728.719999999994</v>
      </c>
      <c r="J9" s="67">
        <f t="shared" si="8"/>
        <v>0</v>
      </c>
      <c r="K9" s="67">
        <f t="shared" ca="1" si="9"/>
        <v>0</v>
      </c>
      <c r="L9" s="67">
        <f t="shared" ca="1" si="10"/>
        <v>0</v>
      </c>
      <c r="M9" s="67">
        <f t="shared" si="11"/>
        <v>0</v>
      </c>
      <c r="N9" s="67">
        <f t="shared" ca="1" si="12"/>
        <v>0</v>
      </c>
      <c r="O9" s="67">
        <f t="shared" si="13"/>
        <v>0</v>
      </c>
      <c r="P9" s="67">
        <f t="shared" ca="1" si="14"/>
        <v>0</v>
      </c>
      <c r="Q9" s="71">
        <f t="shared" si="15"/>
        <v>511000</v>
      </c>
      <c r="R9" s="71">
        <f t="shared" si="16"/>
        <v>3066.0000000000027</v>
      </c>
      <c r="S9" s="71">
        <f t="shared" si="17"/>
        <v>1000</v>
      </c>
      <c r="T9" s="71">
        <f t="shared" si="18"/>
        <v>2767.53</v>
      </c>
      <c r="U9" s="72">
        <f t="shared" si="19"/>
        <v>245280</v>
      </c>
      <c r="V9" s="73">
        <f t="shared" ca="1" si="0"/>
        <v>650970.12474036787</v>
      </c>
      <c r="X9" s="25">
        <f t="shared" ca="1" si="1"/>
        <v>0</v>
      </c>
      <c r="Y9" s="25">
        <f t="shared" ca="1" si="2"/>
        <v>0</v>
      </c>
      <c r="Z9" s="25">
        <f t="shared" ca="1" si="3"/>
        <v>0</v>
      </c>
      <c r="AA9" s="25">
        <f t="shared" ca="1" si="4"/>
        <v>0</v>
      </c>
    </row>
    <row r="10" spans="1:29" x14ac:dyDescent="0.3">
      <c r="B10" s="13">
        <v>8</v>
      </c>
      <c r="C10" s="34">
        <v>0</v>
      </c>
      <c r="D10" s="34">
        <v>0</v>
      </c>
      <c r="E10" s="34">
        <v>0</v>
      </c>
      <c r="F10" s="34">
        <v>0</v>
      </c>
      <c r="G10" s="60">
        <f t="shared" si="5"/>
        <v>-64600</v>
      </c>
      <c r="H10" s="60">
        <f t="shared" si="6"/>
        <v>-98391.666666666672</v>
      </c>
      <c r="I10" s="60">
        <f t="shared" si="7"/>
        <v>-48728.719999999994</v>
      </c>
      <c r="J10" s="67">
        <f t="shared" si="8"/>
        <v>0</v>
      </c>
      <c r="K10" s="67">
        <f t="shared" ca="1" si="9"/>
        <v>-45000</v>
      </c>
      <c r="L10" s="67">
        <f t="shared" ca="1" si="10"/>
        <v>0</v>
      </c>
      <c r="M10" s="67">
        <f t="shared" si="11"/>
        <v>0</v>
      </c>
      <c r="N10" s="67">
        <f t="shared" ca="1" si="12"/>
        <v>-200000</v>
      </c>
      <c r="O10" s="67">
        <f t="shared" si="13"/>
        <v>0</v>
      </c>
      <c r="P10" s="67">
        <f t="shared" ca="1" si="14"/>
        <v>0</v>
      </c>
      <c r="Q10" s="71">
        <f t="shared" si="15"/>
        <v>511000</v>
      </c>
      <c r="R10" s="71">
        <f t="shared" si="16"/>
        <v>3066.0000000000027</v>
      </c>
      <c r="S10" s="71">
        <f t="shared" si="17"/>
        <v>1000</v>
      </c>
      <c r="T10" s="71">
        <f t="shared" si="18"/>
        <v>2767.53</v>
      </c>
      <c r="U10" s="72">
        <f t="shared" si="19"/>
        <v>245280</v>
      </c>
      <c r="V10" s="73">
        <f t="shared" ca="1" si="0"/>
        <v>370406.58192855248</v>
      </c>
      <c r="X10" s="25">
        <f t="shared" ca="1" si="1"/>
        <v>45000</v>
      </c>
      <c r="Y10" s="25">
        <f t="shared" ca="1" si="2"/>
        <v>0</v>
      </c>
      <c r="Z10" s="25">
        <f t="shared" ca="1" si="3"/>
        <v>200000</v>
      </c>
      <c r="AA10" s="25">
        <f t="shared" ca="1" si="4"/>
        <v>0</v>
      </c>
    </row>
    <row r="11" spans="1:29" x14ac:dyDescent="0.3">
      <c r="B11" s="13">
        <v>9</v>
      </c>
      <c r="C11" s="34">
        <v>0</v>
      </c>
      <c r="D11" s="34">
        <v>0</v>
      </c>
      <c r="E11" s="34">
        <v>0</v>
      </c>
      <c r="F11" s="34">
        <v>0</v>
      </c>
      <c r="G11" s="60">
        <f t="shared" si="5"/>
        <v>-64600</v>
      </c>
      <c r="H11" s="60">
        <f t="shared" si="6"/>
        <v>-98391.666666666672</v>
      </c>
      <c r="I11" s="60">
        <f t="shared" si="7"/>
        <v>-48728.719999999994</v>
      </c>
      <c r="J11" s="67">
        <f t="shared" si="8"/>
        <v>0</v>
      </c>
      <c r="K11" s="67">
        <f t="shared" ca="1" si="9"/>
        <v>-45000</v>
      </c>
      <c r="L11" s="67">
        <f t="shared" ca="1" si="10"/>
        <v>0</v>
      </c>
      <c r="M11" s="67">
        <f t="shared" si="11"/>
        <v>0</v>
      </c>
      <c r="N11" s="67">
        <f t="shared" ca="1" si="12"/>
        <v>0</v>
      </c>
      <c r="O11" s="67">
        <f t="shared" si="13"/>
        <v>0</v>
      </c>
      <c r="P11" s="67">
        <f t="shared" ca="1" si="14"/>
        <v>0</v>
      </c>
      <c r="Q11" s="71">
        <f t="shared" si="15"/>
        <v>511000</v>
      </c>
      <c r="R11" s="71">
        <f t="shared" si="16"/>
        <v>3066.0000000000027</v>
      </c>
      <c r="S11" s="71">
        <f t="shared" si="17"/>
        <v>1000</v>
      </c>
      <c r="T11" s="71">
        <f t="shared" si="18"/>
        <v>2767.53</v>
      </c>
      <c r="U11" s="72">
        <f t="shared" si="19"/>
        <v>245280</v>
      </c>
      <c r="V11" s="73">
        <f t="shared" ca="1" si="0"/>
        <v>626884.34775191371</v>
      </c>
      <c r="X11" s="25">
        <f t="shared" ca="1" si="1"/>
        <v>45000</v>
      </c>
      <c r="Y11" s="25">
        <f t="shared" ca="1" si="2"/>
        <v>0</v>
      </c>
      <c r="Z11" s="25">
        <f t="shared" ca="1" si="3"/>
        <v>0</v>
      </c>
      <c r="AA11" s="25">
        <f t="shared" ca="1" si="4"/>
        <v>0</v>
      </c>
    </row>
    <row r="12" spans="1:29" x14ac:dyDescent="0.3">
      <c r="B12" s="13">
        <v>10</v>
      </c>
      <c r="C12" s="34">
        <v>0</v>
      </c>
      <c r="D12" s="34">
        <v>0</v>
      </c>
      <c r="E12" s="34">
        <v>0</v>
      </c>
      <c r="F12" s="34">
        <v>0</v>
      </c>
      <c r="G12" s="60">
        <f t="shared" si="5"/>
        <v>-64600</v>
      </c>
      <c r="H12" s="60">
        <f t="shared" si="6"/>
        <v>-98391.666666666672</v>
      </c>
      <c r="I12" s="60">
        <f t="shared" si="7"/>
        <v>-48728.719999999994</v>
      </c>
      <c r="J12" s="67">
        <f t="shared" si="8"/>
        <v>0</v>
      </c>
      <c r="K12" s="67">
        <f t="shared" ca="1" si="9"/>
        <v>-45000</v>
      </c>
      <c r="L12" s="67">
        <f t="shared" ca="1" si="10"/>
        <v>0</v>
      </c>
      <c r="M12" s="67">
        <f t="shared" si="11"/>
        <v>0</v>
      </c>
      <c r="N12" s="67">
        <f t="shared" ca="1" si="12"/>
        <v>0</v>
      </c>
      <c r="O12" s="67">
        <f t="shared" si="13"/>
        <v>0</v>
      </c>
      <c r="P12" s="67">
        <f t="shared" ca="1" si="14"/>
        <v>0</v>
      </c>
      <c r="Q12" s="71">
        <f t="shared" si="15"/>
        <v>511000</v>
      </c>
      <c r="R12" s="71">
        <f t="shared" si="16"/>
        <v>3066.0000000000027</v>
      </c>
      <c r="S12" s="71">
        <f t="shared" si="17"/>
        <v>1000</v>
      </c>
      <c r="T12" s="71">
        <f t="shared" si="18"/>
        <v>2767.53</v>
      </c>
      <c r="U12" s="72">
        <f t="shared" si="19"/>
        <v>245280</v>
      </c>
      <c r="V12" s="73">
        <f t="shared" ca="1" si="0"/>
        <v>641929.5720979597</v>
      </c>
      <c r="X12" s="25">
        <f t="shared" ca="1" si="1"/>
        <v>45000</v>
      </c>
      <c r="Y12" s="25">
        <f t="shared" ca="1" si="2"/>
        <v>0</v>
      </c>
      <c r="Z12" s="25">
        <f t="shared" ca="1" si="3"/>
        <v>0</v>
      </c>
      <c r="AA12" s="25">
        <f t="shared" ca="1" si="4"/>
        <v>0</v>
      </c>
    </row>
    <row r="13" spans="1:29" x14ac:dyDescent="0.3">
      <c r="U13" s="52" t="s">
        <v>20</v>
      </c>
      <c r="V13" s="27">
        <f ca="1">NPV($B$31,V3:V12)</f>
        <v>2301336.2010378186</v>
      </c>
    </row>
    <row r="14" spans="1:29" x14ac:dyDescent="0.3">
      <c r="U14" s="51" t="s">
        <v>21</v>
      </c>
      <c r="V14" s="28">
        <f ca="1">-PMT($B$31,COUNTA(V3:V12),$V$13)</f>
        <v>327658.50123984518</v>
      </c>
    </row>
    <row r="16" spans="1:29" x14ac:dyDescent="0.3">
      <c r="U16" t="s">
        <v>93</v>
      </c>
      <c r="V16" s="64">
        <v>3502083.5632532728</v>
      </c>
    </row>
    <row r="17" spans="1:22" x14ac:dyDescent="0.3">
      <c r="I17" s="33"/>
      <c r="U17" s="33" t="s">
        <v>94</v>
      </c>
      <c r="V17" s="64">
        <v>498617.91207855201</v>
      </c>
    </row>
    <row r="24" spans="1:22" x14ac:dyDescent="0.3">
      <c r="A24" s="13" t="s">
        <v>75</v>
      </c>
      <c r="B24" s="8" t="s">
        <v>12</v>
      </c>
      <c r="C24" s="8" t="s">
        <v>104</v>
      </c>
      <c r="E24" s="13" t="s">
        <v>24</v>
      </c>
      <c r="F24" s="8"/>
      <c r="G24" s="8"/>
    </row>
    <row r="25" spans="1:22" x14ac:dyDescent="0.3">
      <c r="A25" s="8" t="s">
        <v>26</v>
      </c>
      <c r="B25" s="8">
        <v>323</v>
      </c>
      <c r="C25" s="8" t="s">
        <v>27</v>
      </c>
      <c r="E25" s="8" t="s">
        <v>28</v>
      </c>
      <c r="F25" s="8">
        <v>100</v>
      </c>
      <c r="G25" s="8" t="s">
        <v>29</v>
      </c>
    </row>
    <row r="26" spans="1:22" x14ac:dyDescent="0.3">
      <c r="A26" s="8" t="s">
        <v>32</v>
      </c>
      <c r="B26" s="8">
        <v>3431.6</v>
      </c>
      <c r="C26" s="8" t="s">
        <v>33</v>
      </c>
      <c r="E26" s="8" t="s">
        <v>34</v>
      </c>
      <c r="F26" s="8">
        <v>30</v>
      </c>
      <c r="G26" s="8" t="s">
        <v>35</v>
      </c>
    </row>
    <row r="27" spans="1:22" x14ac:dyDescent="0.3">
      <c r="A27" s="8" t="s">
        <v>37</v>
      </c>
      <c r="B27" s="8">
        <v>149.53700000000001</v>
      </c>
      <c r="C27" s="8" t="s">
        <v>38</v>
      </c>
      <c r="E27" s="8" t="s">
        <v>39</v>
      </c>
      <c r="F27" s="8">
        <v>35.875</v>
      </c>
      <c r="G27" s="8" t="s">
        <v>38</v>
      </c>
    </row>
    <row r="28" spans="1:22" x14ac:dyDescent="0.3">
      <c r="A28" s="8" t="s">
        <v>41</v>
      </c>
      <c r="B28" s="8">
        <f>_xlfn.CEILING.MATH(B27/F27)</f>
        <v>5</v>
      </c>
      <c r="C28" s="8" t="s">
        <v>27</v>
      </c>
      <c r="E28" s="8" t="s">
        <v>42</v>
      </c>
      <c r="F28" s="8">
        <v>600</v>
      </c>
      <c r="G28" s="8" t="s">
        <v>43</v>
      </c>
    </row>
    <row r="29" spans="1:22" x14ac:dyDescent="0.3">
      <c r="E29" s="8" t="s">
        <v>46</v>
      </c>
      <c r="F29" s="8">
        <v>200</v>
      </c>
      <c r="G29" s="8" t="s">
        <v>29</v>
      </c>
    </row>
    <row r="30" spans="1:22" x14ac:dyDescent="0.3">
      <c r="A30" s="8" t="s">
        <v>13</v>
      </c>
      <c r="B30" s="9">
        <v>2.4E-2</v>
      </c>
      <c r="E30" s="8" t="s">
        <v>50</v>
      </c>
      <c r="F30" s="8">
        <v>35</v>
      </c>
      <c r="G30" s="8" t="s">
        <v>51</v>
      </c>
    </row>
    <row r="31" spans="1:22" x14ac:dyDescent="0.3">
      <c r="A31" s="8" t="s">
        <v>14</v>
      </c>
      <c r="B31" s="10">
        <v>7.0000000000000007E-2</v>
      </c>
      <c r="E31" s="8" t="s">
        <v>55</v>
      </c>
      <c r="F31" s="8">
        <v>0.1</v>
      </c>
      <c r="G31" s="8" t="s">
        <v>54</v>
      </c>
    </row>
    <row r="32" spans="1:22" x14ac:dyDescent="0.3">
      <c r="E32" s="8" t="s">
        <v>59</v>
      </c>
      <c r="F32" s="8">
        <v>0.01</v>
      </c>
      <c r="G32" s="8" t="s">
        <v>60</v>
      </c>
    </row>
    <row r="33" spans="1:10" x14ac:dyDescent="0.3">
      <c r="E33" s="8" t="s">
        <v>62</v>
      </c>
      <c r="F33" s="8">
        <v>100</v>
      </c>
      <c r="G33" s="8" t="s">
        <v>63</v>
      </c>
    </row>
    <row r="34" spans="1:10" x14ac:dyDescent="0.3">
      <c r="E34" s="8" t="s">
        <v>67</v>
      </c>
      <c r="F34" s="8">
        <v>0.14199999999999999</v>
      </c>
      <c r="G34" s="8" t="s">
        <v>68</v>
      </c>
    </row>
    <row r="35" spans="1:10" x14ac:dyDescent="0.3">
      <c r="E35" s="8" t="s">
        <v>44</v>
      </c>
      <c r="F35" s="8">
        <v>10000</v>
      </c>
      <c r="G35" s="8" t="s">
        <v>45</v>
      </c>
    </row>
    <row r="36" spans="1:10" x14ac:dyDescent="0.3">
      <c r="E36" s="8" t="s">
        <v>49</v>
      </c>
      <c r="F36" s="8">
        <v>276753</v>
      </c>
      <c r="G36" s="8" t="s">
        <v>45</v>
      </c>
    </row>
    <row r="37" spans="1:10" x14ac:dyDescent="0.3">
      <c r="E37" s="8" t="s">
        <v>53</v>
      </c>
      <c r="F37" s="8">
        <v>0.2</v>
      </c>
      <c r="G37" s="8" t="s">
        <v>54</v>
      </c>
    </row>
    <row r="38" spans="1:10" x14ac:dyDescent="0.3">
      <c r="E38" s="8" t="s">
        <v>57</v>
      </c>
      <c r="F38" s="8">
        <v>127224</v>
      </c>
      <c r="G38" s="8" t="s">
        <v>58</v>
      </c>
    </row>
    <row r="39" spans="1:10" x14ac:dyDescent="0.3">
      <c r="A39" s="35"/>
      <c r="B39" s="36"/>
      <c r="C39" s="37"/>
      <c r="E39" s="8" t="s">
        <v>61</v>
      </c>
      <c r="F39" s="8">
        <v>90883</v>
      </c>
      <c r="G39" s="8" t="s">
        <v>58</v>
      </c>
    </row>
    <row r="40" spans="1:10" x14ac:dyDescent="0.3">
      <c r="E40" s="8" t="s">
        <v>66</v>
      </c>
      <c r="F40" s="8">
        <v>77068</v>
      </c>
      <c r="G40" s="8" t="s">
        <v>58</v>
      </c>
    </row>
    <row r="46" spans="1:10" x14ac:dyDescent="0.3">
      <c r="A46" s="38" t="s">
        <v>77</v>
      </c>
      <c r="B46" s="38" t="s">
        <v>96</v>
      </c>
      <c r="C46" s="40" t="s">
        <v>76</v>
      </c>
      <c r="E46" s="54" t="s">
        <v>78</v>
      </c>
      <c r="F46" s="54" t="s">
        <v>79</v>
      </c>
      <c r="G46" s="54" t="s">
        <v>80</v>
      </c>
      <c r="H46" s="54"/>
      <c r="I46" s="54" t="s">
        <v>81</v>
      </c>
      <c r="J46" s="54"/>
    </row>
    <row r="47" spans="1:10" ht="43.2" x14ac:dyDescent="0.3">
      <c r="A47" s="44" t="s">
        <v>5</v>
      </c>
      <c r="B47" s="39">
        <v>0.75</v>
      </c>
      <c r="C47" s="45">
        <v>45000</v>
      </c>
      <c r="E47" s="49">
        <v>0</v>
      </c>
      <c r="F47" s="43" t="s">
        <v>82</v>
      </c>
      <c r="G47" s="57">
        <v>6000</v>
      </c>
      <c r="H47" s="49" t="s">
        <v>47</v>
      </c>
      <c r="I47" s="55">
        <v>0.35</v>
      </c>
      <c r="J47" s="43" t="s">
        <v>86</v>
      </c>
    </row>
    <row r="48" spans="1:10" ht="115.2" x14ac:dyDescent="0.3">
      <c r="A48" s="44" t="s">
        <v>8</v>
      </c>
      <c r="B48" s="39">
        <v>0.02</v>
      </c>
      <c r="C48" s="46">
        <v>40000</v>
      </c>
      <c r="E48" s="49">
        <v>0</v>
      </c>
      <c r="F48" s="53" t="s">
        <v>83</v>
      </c>
      <c r="G48" s="58">
        <v>40000</v>
      </c>
      <c r="H48" s="49" t="s">
        <v>47</v>
      </c>
      <c r="I48" s="55">
        <v>0.02</v>
      </c>
      <c r="J48" s="43" t="s">
        <v>101</v>
      </c>
    </row>
    <row r="49" spans="1:10" ht="43.2" x14ac:dyDescent="0.3">
      <c r="A49" s="47" t="s">
        <v>3</v>
      </c>
      <c r="B49" s="39">
        <v>0.5</v>
      </c>
      <c r="C49" s="48">
        <v>200000</v>
      </c>
      <c r="E49" s="49">
        <v>0</v>
      </c>
      <c r="F49" s="43" t="s">
        <v>84</v>
      </c>
      <c r="G49" s="58">
        <v>104224</v>
      </c>
      <c r="H49" s="49" t="s">
        <v>47</v>
      </c>
      <c r="I49" s="55">
        <v>0.25</v>
      </c>
      <c r="J49" s="49" t="s">
        <v>85</v>
      </c>
    </row>
    <row r="50" spans="1:10" ht="43.2" x14ac:dyDescent="0.3">
      <c r="A50" s="2" t="s">
        <v>95</v>
      </c>
      <c r="B50" s="74">
        <v>0.13</v>
      </c>
      <c r="C50" s="48">
        <v>52500</v>
      </c>
      <c r="E50" s="49">
        <v>0</v>
      </c>
      <c r="F50" s="43" t="s">
        <v>97</v>
      </c>
      <c r="G50" s="58">
        <v>138248</v>
      </c>
      <c r="H50" s="49" t="s">
        <v>106</v>
      </c>
      <c r="I50" s="75">
        <v>0.11310000000000001</v>
      </c>
      <c r="J50" s="49" t="s">
        <v>98</v>
      </c>
    </row>
    <row r="52" spans="1:10" x14ac:dyDescent="0.3">
      <c r="A52" t="s">
        <v>105</v>
      </c>
    </row>
  </sheetData>
  <mergeCells count="5">
    <mergeCell ref="C1:F1"/>
    <mergeCell ref="G1:P1"/>
    <mergeCell ref="Q1:U1"/>
    <mergeCell ref="X1:AC1"/>
    <mergeCell ref="A3:A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9106-0CB4-4DDC-B063-413E5061DA72}">
  <dimension ref="A1:AF169"/>
  <sheetViews>
    <sheetView topLeftCell="B34" zoomScale="67" zoomScaleNormal="61" workbookViewId="0">
      <selection activeCell="E53" sqref="E53"/>
    </sheetView>
  </sheetViews>
  <sheetFormatPr defaultRowHeight="14.4" x14ac:dyDescent="0.3"/>
  <cols>
    <col min="1" max="1" width="31.44140625" bestFit="1" customWidth="1"/>
    <col min="2" max="2" width="25.44140625" customWidth="1"/>
    <col min="3" max="3" width="14.6640625" customWidth="1"/>
    <col min="4" max="4" width="10.44140625" bestFit="1" customWidth="1"/>
    <col min="5" max="5" width="32" bestFit="1" customWidth="1"/>
    <col min="6" max="6" width="12" bestFit="1" customWidth="1"/>
    <col min="7" max="7" width="20.44140625" bestFit="1" customWidth="1"/>
    <col min="8" max="8" width="20.5546875" customWidth="1"/>
    <col min="9" max="9" width="13.6640625" bestFit="1" customWidth="1"/>
    <col min="10" max="10" width="4.6640625" bestFit="1" customWidth="1"/>
    <col min="11" max="11" width="31.6640625" customWidth="1"/>
    <col min="12" max="12" width="15.5546875" customWidth="1"/>
    <col min="13" max="13" width="20.6640625" customWidth="1"/>
    <col min="14" max="14" width="30.88671875" bestFit="1" customWidth="1"/>
    <col min="15" max="15" width="7" bestFit="1" customWidth="1"/>
    <col min="16" max="16" width="17.33203125" bestFit="1" customWidth="1"/>
    <col min="25" max="26" width="11.6640625" bestFit="1" customWidth="1"/>
    <col min="27" max="27" width="21.6640625" bestFit="1" customWidth="1"/>
    <col min="28" max="28" width="21.109375" bestFit="1" customWidth="1"/>
    <col min="32" max="32" width="12.6640625" bestFit="1" customWidth="1"/>
  </cols>
  <sheetData>
    <row r="1" spans="1:32" x14ac:dyDescent="0.3">
      <c r="A1" s="8"/>
      <c r="B1" s="8"/>
      <c r="C1" s="88" t="s">
        <v>15</v>
      </c>
      <c r="D1" s="88"/>
      <c r="E1" s="88"/>
      <c r="F1" s="88"/>
      <c r="G1" s="88"/>
    </row>
    <row r="2" spans="1:32" x14ac:dyDescent="0.3">
      <c r="A2" s="8"/>
      <c r="B2" s="13" t="s">
        <v>25</v>
      </c>
      <c r="C2" s="13">
        <v>1</v>
      </c>
      <c r="D2" s="13">
        <v>2</v>
      </c>
      <c r="E2" s="13">
        <v>3</v>
      </c>
      <c r="F2" s="13">
        <v>4</v>
      </c>
      <c r="G2" s="13">
        <v>5</v>
      </c>
    </row>
    <row r="3" spans="1:32" x14ac:dyDescent="0.3">
      <c r="A3" s="16" t="s">
        <v>30</v>
      </c>
      <c r="B3" s="17" t="s">
        <v>31</v>
      </c>
      <c r="C3" s="18">
        <f>-F25*B25</f>
        <v>-32300</v>
      </c>
      <c r="D3" s="18">
        <v>0</v>
      </c>
      <c r="E3" s="18">
        <v>0</v>
      </c>
      <c r="F3" s="18">
        <v>0</v>
      </c>
      <c r="G3" s="18">
        <v>0</v>
      </c>
    </row>
    <row r="4" spans="1:32" x14ac:dyDescent="0.3">
      <c r="A4" s="17"/>
      <c r="B4" s="17" t="s">
        <v>36</v>
      </c>
      <c r="C4" s="18">
        <f>-F26*B26</f>
        <v>-102948</v>
      </c>
      <c r="D4" s="18">
        <v>0</v>
      </c>
      <c r="E4" s="18">
        <v>0</v>
      </c>
      <c r="F4" s="18">
        <v>0</v>
      </c>
      <c r="G4" s="18">
        <v>0</v>
      </c>
      <c r="J4" s="8" t="s">
        <v>15</v>
      </c>
      <c r="K4" s="8" t="s">
        <v>16</v>
      </c>
      <c r="L4" s="8" t="s">
        <v>17</v>
      </c>
      <c r="M4" s="8" t="s">
        <v>18</v>
      </c>
      <c r="N4" s="8" t="s">
        <v>19</v>
      </c>
    </row>
    <row r="5" spans="1:32" x14ac:dyDescent="0.3">
      <c r="A5" s="17"/>
      <c r="B5" s="17" t="s">
        <v>40</v>
      </c>
      <c r="C5" s="18">
        <f>-B28*F28</f>
        <v>-3000</v>
      </c>
      <c r="D5" s="18">
        <v>0</v>
      </c>
      <c r="E5" s="18">
        <v>0</v>
      </c>
      <c r="F5" s="18">
        <v>0</v>
      </c>
      <c r="G5" s="18">
        <v>0</v>
      </c>
      <c r="J5" s="8">
        <v>1</v>
      </c>
      <c r="K5" s="14">
        <f>SUM(C3:C5)</f>
        <v>-138248</v>
      </c>
      <c r="L5" s="14">
        <f>SUM(C7:C9)</f>
        <v>-211720.38666666669</v>
      </c>
      <c r="M5" s="14">
        <v>0</v>
      </c>
      <c r="N5" s="26">
        <f t="shared" ref="N5:N14" si="0">SUM(K5:M5)*(1+$B$41)^J5</f>
        <v>-358367.62794666673</v>
      </c>
    </row>
    <row r="6" spans="1:32" x14ac:dyDescent="0.3">
      <c r="A6" s="17"/>
      <c r="B6" s="17"/>
      <c r="C6" s="18"/>
      <c r="D6" s="18"/>
      <c r="E6" s="18"/>
      <c r="F6" s="18"/>
      <c r="G6" s="18"/>
      <c r="J6" s="8">
        <v>2</v>
      </c>
      <c r="K6" s="14">
        <v>0</v>
      </c>
      <c r="L6" s="14">
        <f>SUM(C7:C9)</f>
        <v>-211720.38666666669</v>
      </c>
      <c r="M6" s="14">
        <f>SUM(D11:D15)</f>
        <v>763113.53</v>
      </c>
      <c r="N6" s="26">
        <f t="shared" si="0"/>
        <v>578177.61666389334</v>
      </c>
      <c r="AF6" s="11"/>
    </row>
    <row r="7" spans="1:32" x14ac:dyDescent="0.3">
      <c r="A7" s="19" t="s">
        <v>47</v>
      </c>
      <c r="B7" s="20" t="s">
        <v>48</v>
      </c>
      <c r="C7" s="21">
        <f>-B25*F29</f>
        <v>-64600</v>
      </c>
      <c r="D7" s="21">
        <f>-B25*F29</f>
        <v>-64600</v>
      </c>
      <c r="E7" s="21">
        <f>-B25*F29</f>
        <v>-64600</v>
      </c>
      <c r="F7" s="21">
        <f>-B25*F29</f>
        <v>-64600</v>
      </c>
      <c r="G7" s="21">
        <f>-B25*F29</f>
        <v>-64600</v>
      </c>
      <c r="J7" s="8">
        <v>3</v>
      </c>
      <c r="K7" s="14">
        <v>0</v>
      </c>
      <c r="L7" s="14">
        <f>SUM(C7:C9)</f>
        <v>-211720.38666666669</v>
      </c>
      <c r="M7" s="14">
        <f>SUM(D11:D15)</f>
        <v>763113.53</v>
      </c>
      <c r="N7" s="26">
        <f t="shared" si="0"/>
        <v>592053.87946382677</v>
      </c>
    </row>
    <row r="8" spans="1:32" x14ac:dyDescent="0.3">
      <c r="A8" s="20"/>
      <c r="B8" s="20" t="s">
        <v>52</v>
      </c>
      <c r="C8" s="21">
        <f>-(F38+F39+F40)/3</f>
        <v>-98391.666666666672</v>
      </c>
      <c r="D8" s="21">
        <f>-(F38+F39+F40)/3</f>
        <v>-98391.666666666672</v>
      </c>
      <c r="E8" s="21">
        <f>-(F38+F39+F40)/3</f>
        <v>-98391.666666666672</v>
      </c>
      <c r="F8" s="21">
        <f>-(F38+F39+F40)/3</f>
        <v>-98391.666666666672</v>
      </c>
      <c r="G8" s="21">
        <f>-(F38+F39+F40)/3</f>
        <v>-98391.666666666672</v>
      </c>
      <c r="J8" s="8">
        <v>4</v>
      </c>
      <c r="K8" s="14">
        <v>0</v>
      </c>
      <c r="L8" s="14">
        <f>SUM(C7:C9)</f>
        <v>-211720.38666666669</v>
      </c>
      <c r="M8" s="14">
        <f>SUM(D11:D15)</f>
        <v>763113.53</v>
      </c>
      <c r="N8" s="26">
        <f t="shared" si="0"/>
        <v>606263.17257095862</v>
      </c>
    </row>
    <row r="9" spans="1:32" x14ac:dyDescent="0.3">
      <c r="A9" s="20"/>
      <c r="B9" s="20" t="s">
        <v>56</v>
      </c>
      <c r="C9" s="21">
        <f>-B26*F33*F34</f>
        <v>-48728.719999999994</v>
      </c>
      <c r="D9" s="21">
        <f>-B26*F33*F34</f>
        <v>-48728.719999999994</v>
      </c>
      <c r="E9" s="21">
        <f>-B26*F33*F34</f>
        <v>-48728.719999999994</v>
      </c>
      <c r="F9" s="21">
        <f>-B26*F33*F34</f>
        <v>-48728.719999999994</v>
      </c>
      <c r="G9" s="21">
        <f>-B26*F33*F34</f>
        <v>-48728.719999999994</v>
      </c>
      <c r="J9" s="8">
        <v>5</v>
      </c>
      <c r="K9" s="14">
        <v>0</v>
      </c>
      <c r="L9" s="14">
        <f>SUM(C7:C9)</f>
        <v>-211720.38666666669</v>
      </c>
      <c r="M9" s="14">
        <f>SUM(D11:D15)</f>
        <v>763113.53</v>
      </c>
      <c r="N9" s="26">
        <f t="shared" si="0"/>
        <v>620813.48871266167</v>
      </c>
    </row>
    <row r="10" spans="1:32" x14ac:dyDescent="0.3">
      <c r="A10" s="20"/>
      <c r="B10" s="20"/>
      <c r="C10" s="21"/>
      <c r="D10" s="21"/>
      <c r="E10" s="21"/>
      <c r="F10" s="21"/>
      <c r="G10" s="21"/>
      <c r="J10" s="8">
        <v>6</v>
      </c>
      <c r="K10" s="14">
        <v>0</v>
      </c>
      <c r="L10" s="14">
        <f>SUM(C7:C9)</f>
        <v>-211720.38666666669</v>
      </c>
      <c r="M10" s="14">
        <f>SUM(D11:D15)</f>
        <v>763113.53</v>
      </c>
      <c r="N10" s="26">
        <f t="shared" si="0"/>
        <v>635713.0124417654</v>
      </c>
    </row>
    <row r="11" spans="1:32" x14ac:dyDescent="0.3">
      <c r="A11" s="22" t="s">
        <v>64</v>
      </c>
      <c r="B11" s="23" t="s">
        <v>65</v>
      </c>
      <c r="C11" s="24">
        <v>0</v>
      </c>
      <c r="D11" s="24">
        <f>F30*5*8*365</f>
        <v>511000</v>
      </c>
      <c r="E11" s="24">
        <f>F30*5*8*365</f>
        <v>511000</v>
      </c>
      <c r="F11" s="24">
        <f>F30*5*8*365</f>
        <v>511000</v>
      </c>
      <c r="G11" s="24">
        <f>F30*5*8*365</f>
        <v>511000</v>
      </c>
      <c r="J11" s="8">
        <v>7</v>
      </c>
      <c r="K11" s="14">
        <v>0</v>
      </c>
      <c r="L11" s="14">
        <f>SUM(C7:C9)</f>
        <v>-211720.38666666669</v>
      </c>
      <c r="M11" s="14">
        <f>SUM(D11:D15)</f>
        <v>763113.53</v>
      </c>
      <c r="N11" s="26">
        <f t="shared" si="0"/>
        <v>650970.12474036787</v>
      </c>
    </row>
    <row r="12" spans="1:32" x14ac:dyDescent="0.3">
      <c r="A12" s="23"/>
      <c r="B12" s="23" t="s">
        <v>69</v>
      </c>
      <c r="C12" s="24">
        <v>0</v>
      </c>
      <c r="D12" s="24">
        <f>F30*365*24*(1-0.99)</f>
        <v>3066.0000000000027</v>
      </c>
      <c r="E12" s="24">
        <f>F30*365*24*(1-0.99)</f>
        <v>3066.0000000000027</v>
      </c>
      <c r="F12" s="24">
        <f>F30*365*24*(1-0.99)</f>
        <v>3066.0000000000027</v>
      </c>
      <c r="G12" s="24">
        <f>F30*365*24*(1-0.99)</f>
        <v>3066.0000000000027</v>
      </c>
      <c r="J12" s="8">
        <v>8</v>
      </c>
      <c r="K12" s="14">
        <v>0</v>
      </c>
      <c r="L12" s="14">
        <f>SUM(C7:C9)</f>
        <v>-211720.38666666669</v>
      </c>
      <c r="M12" s="14">
        <f>SUM(D11:D15)</f>
        <v>763113.53</v>
      </c>
      <c r="N12" s="26">
        <f t="shared" si="0"/>
        <v>666593.40773413668</v>
      </c>
    </row>
    <row r="13" spans="1:32" x14ac:dyDescent="0.3">
      <c r="A13" s="23"/>
      <c r="B13" s="23" t="s">
        <v>70</v>
      </c>
      <c r="C13" s="24">
        <v>0</v>
      </c>
      <c r="D13" s="24">
        <f>F35*F31</f>
        <v>1000</v>
      </c>
      <c r="E13" s="24">
        <f>F35*F31</f>
        <v>1000</v>
      </c>
      <c r="F13" s="24">
        <f>F35*F31</f>
        <v>1000</v>
      </c>
      <c r="G13" s="24">
        <f>F35*F31</f>
        <v>1000</v>
      </c>
      <c r="J13" s="8">
        <v>9</v>
      </c>
      <c r="K13" s="14">
        <v>0</v>
      </c>
      <c r="L13" s="14">
        <f>SUM(C7:C9)</f>
        <v>-211720.38666666669</v>
      </c>
      <c r="M13" s="14">
        <f>SUM(D11:D15)</f>
        <v>763113.53</v>
      </c>
      <c r="N13" s="26">
        <f t="shared" si="0"/>
        <v>682591.64951975585</v>
      </c>
    </row>
    <row r="14" spans="1:32" x14ac:dyDescent="0.3">
      <c r="A14" s="23"/>
      <c r="B14" s="23" t="s">
        <v>71</v>
      </c>
      <c r="C14" s="24">
        <v>0</v>
      </c>
      <c r="D14" s="24">
        <f>F36*F32</f>
        <v>2767.53</v>
      </c>
      <c r="E14" s="24">
        <f>F36*F32</f>
        <v>2767.53</v>
      </c>
      <c r="F14" s="24">
        <f>F36*F32</f>
        <v>2767.53</v>
      </c>
      <c r="G14" s="24">
        <f>F36*F32</f>
        <v>2767.53</v>
      </c>
      <c r="J14" s="8">
        <v>10</v>
      </c>
      <c r="K14" s="14">
        <v>0</v>
      </c>
      <c r="L14" s="14">
        <f>SUM(C7:C9)</f>
        <v>-211720.38666666669</v>
      </c>
      <c r="M14" s="14">
        <f>SUM(D11:D15)</f>
        <v>763113.53</v>
      </c>
      <c r="N14" s="26">
        <f t="shared" si="0"/>
        <v>698973.84910823009</v>
      </c>
    </row>
    <row r="15" spans="1:32" x14ac:dyDescent="0.3">
      <c r="A15" s="23"/>
      <c r="B15" s="23" t="s">
        <v>72</v>
      </c>
      <c r="C15" s="24">
        <v>0</v>
      </c>
      <c r="D15" s="24">
        <f>(1-F37)*F30*24*365</f>
        <v>245280</v>
      </c>
      <c r="E15" s="24">
        <f>(1-F37)*F30*24*365</f>
        <v>245280</v>
      </c>
      <c r="F15" s="24">
        <f>(1-F37)*F30*24*365</f>
        <v>245280</v>
      </c>
      <c r="G15" s="24">
        <f>(1-F37)*F30*24*365</f>
        <v>245280</v>
      </c>
      <c r="H15" s="40" t="s">
        <v>73</v>
      </c>
      <c r="J15" s="8"/>
      <c r="K15" s="8"/>
      <c r="L15" s="8"/>
      <c r="M15" s="8" t="s">
        <v>20</v>
      </c>
      <c r="N15" s="27">
        <f>NPV($B$42,N5:N14)</f>
        <v>3502083.5632532728</v>
      </c>
    </row>
    <row r="16" spans="1:32" x14ac:dyDescent="0.3">
      <c r="A16" s="13" t="s">
        <v>74</v>
      </c>
      <c r="B16" s="8"/>
      <c r="C16" s="41">
        <f>SUM(C3:C15)</f>
        <v>-349968.38666666666</v>
      </c>
      <c r="D16" s="41">
        <f>SUM(D3:D15)</f>
        <v>551393.14333333331</v>
      </c>
      <c r="E16" s="41">
        <f>SUM(E3:E15)</f>
        <v>551393.14333333331</v>
      </c>
      <c r="F16" s="41">
        <f>SUM(F3:F15)</f>
        <v>551393.14333333331</v>
      </c>
      <c r="G16" s="41">
        <f>SUM(G3:G15)</f>
        <v>551393.14333333331</v>
      </c>
      <c r="H16" s="42">
        <f>SUM(C16:G16)</f>
        <v>1855604.1866666665</v>
      </c>
      <c r="J16" s="8"/>
      <c r="K16" s="8"/>
      <c r="L16" s="8"/>
      <c r="M16" s="8" t="s">
        <v>21</v>
      </c>
      <c r="N16" s="28">
        <f>-PMT($B$42,COUNTA(J5:J14),N15)</f>
        <v>498617.91207855201</v>
      </c>
    </row>
    <row r="20" spans="1:7" x14ac:dyDescent="0.3">
      <c r="A20" s="12"/>
    </row>
    <row r="21" spans="1:7" x14ac:dyDescent="0.3">
      <c r="A21" s="12"/>
    </row>
    <row r="24" spans="1:7" x14ac:dyDescent="0.3">
      <c r="A24" s="13" t="s">
        <v>75</v>
      </c>
      <c r="B24" s="8"/>
      <c r="C24" s="8"/>
      <c r="E24" s="13" t="s">
        <v>24</v>
      </c>
      <c r="F24" s="8"/>
      <c r="G24" s="8"/>
    </row>
    <row r="25" spans="1:7" x14ac:dyDescent="0.3">
      <c r="A25" s="8" t="s">
        <v>26</v>
      </c>
      <c r="B25" s="8">
        <v>323</v>
      </c>
      <c r="C25" s="8" t="s">
        <v>27</v>
      </c>
      <c r="E25" s="8" t="s">
        <v>28</v>
      </c>
      <c r="F25" s="8">
        <v>100</v>
      </c>
      <c r="G25" s="8" t="s">
        <v>29</v>
      </c>
    </row>
    <row r="26" spans="1:7" x14ac:dyDescent="0.3">
      <c r="A26" s="8" t="s">
        <v>32</v>
      </c>
      <c r="B26" s="8">
        <v>3431.6</v>
      </c>
      <c r="C26" s="8" t="s">
        <v>33</v>
      </c>
      <c r="E26" s="8" t="s">
        <v>34</v>
      </c>
      <c r="F26" s="8">
        <v>30</v>
      </c>
      <c r="G26" s="8" t="s">
        <v>35</v>
      </c>
    </row>
    <row r="27" spans="1:7" x14ac:dyDescent="0.3">
      <c r="A27" s="8" t="s">
        <v>37</v>
      </c>
      <c r="B27" s="8">
        <v>149.53700000000001</v>
      </c>
      <c r="C27" s="8" t="s">
        <v>38</v>
      </c>
      <c r="E27" s="8" t="s">
        <v>39</v>
      </c>
      <c r="F27" s="8">
        <v>35.875</v>
      </c>
      <c r="G27" s="8" t="s">
        <v>38</v>
      </c>
    </row>
    <row r="28" spans="1:7" x14ac:dyDescent="0.3">
      <c r="A28" s="8" t="s">
        <v>41</v>
      </c>
      <c r="B28" s="8">
        <f>_xlfn.CEILING.MATH(B27/F27)</f>
        <v>5</v>
      </c>
      <c r="C28" s="8" t="s">
        <v>27</v>
      </c>
      <c r="E28" s="8" t="s">
        <v>42</v>
      </c>
      <c r="F28" s="8">
        <v>600</v>
      </c>
      <c r="G28" s="8" t="s">
        <v>43</v>
      </c>
    </row>
    <row r="29" spans="1:7" x14ac:dyDescent="0.3">
      <c r="E29" s="8" t="s">
        <v>46</v>
      </c>
      <c r="F29" s="8">
        <v>200</v>
      </c>
      <c r="G29" s="8" t="s">
        <v>29</v>
      </c>
    </row>
    <row r="30" spans="1:7" x14ac:dyDescent="0.3">
      <c r="E30" s="8" t="s">
        <v>50</v>
      </c>
      <c r="F30" s="8">
        <v>35</v>
      </c>
      <c r="G30" s="8" t="s">
        <v>51</v>
      </c>
    </row>
    <row r="31" spans="1:7" x14ac:dyDescent="0.3">
      <c r="E31" s="8" t="s">
        <v>55</v>
      </c>
      <c r="F31" s="8">
        <v>0.1</v>
      </c>
      <c r="G31" s="8" t="s">
        <v>54</v>
      </c>
    </row>
    <row r="32" spans="1:7" x14ac:dyDescent="0.3">
      <c r="E32" s="8" t="s">
        <v>59</v>
      </c>
      <c r="F32" s="8">
        <v>0.01</v>
      </c>
      <c r="G32" s="8" t="s">
        <v>60</v>
      </c>
    </row>
    <row r="33" spans="1:7" x14ac:dyDescent="0.3">
      <c r="E33" s="8" t="s">
        <v>62</v>
      </c>
      <c r="F33" s="8">
        <v>100</v>
      </c>
      <c r="G33" s="8" t="s">
        <v>63</v>
      </c>
    </row>
    <row r="34" spans="1:7" x14ac:dyDescent="0.3">
      <c r="E34" s="8" t="s">
        <v>67</v>
      </c>
      <c r="F34" s="8">
        <v>0.14199999999999999</v>
      </c>
      <c r="G34" s="8" t="s">
        <v>68</v>
      </c>
    </row>
    <row r="35" spans="1:7" x14ac:dyDescent="0.3">
      <c r="E35" s="8" t="s">
        <v>44</v>
      </c>
      <c r="F35" s="8">
        <v>10000</v>
      </c>
      <c r="G35" s="8" t="s">
        <v>45</v>
      </c>
    </row>
    <row r="36" spans="1:7" x14ac:dyDescent="0.3">
      <c r="E36" s="8" t="s">
        <v>49</v>
      </c>
      <c r="F36" s="8">
        <v>276753</v>
      </c>
      <c r="G36" s="8" t="s">
        <v>45</v>
      </c>
    </row>
    <row r="37" spans="1:7" x14ac:dyDescent="0.3">
      <c r="E37" s="8" t="s">
        <v>53</v>
      </c>
      <c r="F37" s="8">
        <v>0.2</v>
      </c>
      <c r="G37" s="8" t="s">
        <v>54</v>
      </c>
    </row>
    <row r="38" spans="1:7" x14ac:dyDescent="0.3">
      <c r="E38" s="8" t="s">
        <v>57</v>
      </c>
      <c r="F38" s="8">
        <v>127224</v>
      </c>
      <c r="G38" s="8" t="s">
        <v>58</v>
      </c>
    </row>
    <row r="39" spans="1:7" x14ac:dyDescent="0.3">
      <c r="E39" s="8" t="s">
        <v>61</v>
      </c>
      <c r="F39" s="8">
        <v>90883</v>
      </c>
      <c r="G39" s="8" t="s">
        <v>58</v>
      </c>
    </row>
    <row r="40" spans="1:7" x14ac:dyDescent="0.3">
      <c r="E40" s="8" t="s">
        <v>66</v>
      </c>
      <c r="F40" s="8">
        <v>77068</v>
      </c>
      <c r="G40" s="8" t="s">
        <v>58</v>
      </c>
    </row>
    <row r="41" spans="1:7" x14ac:dyDescent="0.3">
      <c r="A41" s="8" t="s">
        <v>13</v>
      </c>
      <c r="B41" s="9">
        <v>2.4E-2</v>
      </c>
      <c r="C41" s="8"/>
    </row>
    <row r="42" spans="1:7" x14ac:dyDescent="0.3">
      <c r="A42" s="8" t="s">
        <v>14</v>
      </c>
      <c r="B42" s="10">
        <v>7.0000000000000007E-2</v>
      </c>
      <c r="C42" s="8"/>
    </row>
    <row r="50" spans="3:9" x14ac:dyDescent="0.3">
      <c r="C50" s="13" t="s">
        <v>22</v>
      </c>
      <c r="D50" s="89" t="s">
        <v>26</v>
      </c>
      <c r="E50" s="89"/>
      <c r="F50" s="89" t="s">
        <v>32</v>
      </c>
      <c r="G50" s="89"/>
      <c r="H50" s="89" t="s">
        <v>37</v>
      </c>
      <c r="I50" s="89"/>
    </row>
    <row r="51" spans="3:9" x14ac:dyDescent="0.3">
      <c r="C51" s="8"/>
      <c r="D51" s="8" t="s">
        <v>12</v>
      </c>
      <c r="E51" s="8" t="s">
        <v>20</v>
      </c>
      <c r="F51" s="8" t="s">
        <v>12</v>
      </c>
      <c r="G51" s="8" t="s">
        <v>20</v>
      </c>
      <c r="H51" s="8" t="s">
        <v>12</v>
      </c>
      <c r="I51" s="8" t="s">
        <v>20</v>
      </c>
    </row>
    <row r="52" spans="3:9" x14ac:dyDescent="0.3">
      <c r="C52" s="13" t="s">
        <v>23</v>
      </c>
      <c r="D52" s="8">
        <v>323</v>
      </c>
      <c r="E52" s="14">
        <f>$N$15</f>
        <v>3502083.5632532728</v>
      </c>
      <c r="F52">
        <v>3431.6</v>
      </c>
      <c r="G52" s="14">
        <f>$N$15</f>
        <v>3502083.5632532728</v>
      </c>
      <c r="H52">
        <v>149.53700000000001</v>
      </c>
      <c r="I52" s="14">
        <f>$N$15</f>
        <v>3502083.5632532728</v>
      </c>
    </row>
    <row r="53" spans="3:9" x14ac:dyDescent="0.3">
      <c r="C53" s="15">
        <v>-0.2</v>
      </c>
      <c r="D53" s="8">
        <f t="shared" ref="D53:D61" si="1">D$52*(1+$C53)</f>
        <v>258.40000000000003</v>
      </c>
      <c r="E53" s="25">
        <f t="dataTable" ref="E53:E61" dt2D="0" dtr="0" r1="B25"/>
        <v>3610537.4436865808</v>
      </c>
      <c r="F53" s="8">
        <f t="shared" ref="F53:F61" si="2">F$52*(1+$C53)</f>
        <v>2745.28</v>
      </c>
      <c r="G53" s="25">
        <f t="dataTable" ref="G53:G61" dt2D="0" dtr="0" r1="B26" ca="1"/>
        <v>3598932.9589669057</v>
      </c>
      <c r="H53" s="8">
        <f t="shared" ref="H53:H61" si="3">H$52*(1+$C53)</f>
        <v>119.62960000000001</v>
      </c>
      <c r="I53" s="25">
        <f t="dataTable" ref="I53:I61" dt2D="0" dtr="0" r1="B27" ca="1"/>
        <v>3502657.7688607494</v>
      </c>
    </row>
    <row r="54" spans="3:9" x14ac:dyDescent="0.3">
      <c r="C54" s="15">
        <v>-0.15</v>
      </c>
      <c r="D54" s="8">
        <f t="shared" si="1"/>
        <v>274.55</v>
      </c>
      <c r="E54" s="25">
        <v>3583423.9735782542</v>
      </c>
      <c r="F54" s="8">
        <f t="shared" si="2"/>
        <v>2916.8599999999997</v>
      </c>
      <c r="G54" s="25">
        <v>3574720.610038497</v>
      </c>
      <c r="H54" s="8">
        <f t="shared" si="3"/>
        <v>127.10645</v>
      </c>
      <c r="I54" s="25">
        <v>3502657.7688607494</v>
      </c>
    </row>
    <row r="55" spans="3:9" x14ac:dyDescent="0.3">
      <c r="C55" s="15">
        <v>-0.1</v>
      </c>
      <c r="D55" s="8">
        <f t="shared" si="1"/>
        <v>290.7</v>
      </c>
      <c r="E55" s="25">
        <v>3556310.5034699268</v>
      </c>
      <c r="F55" s="8">
        <f t="shared" si="2"/>
        <v>3088.44</v>
      </c>
      <c r="G55" s="25">
        <v>3550508.2611100888</v>
      </c>
      <c r="H55" s="8">
        <f t="shared" si="3"/>
        <v>134.58330000000001</v>
      </c>
      <c r="I55" s="25">
        <v>3502657.7688607494</v>
      </c>
    </row>
    <row r="56" spans="3:9" x14ac:dyDescent="0.3">
      <c r="C56" s="15">
        <v>-0.05</v>
      </c>
      <c r="D56" s="8">
        <f t="shared" si="1"/>
        <v>306.84999999999997</v>
      </c>
      <c r="E56" s="25">
        <v>3529197.0333615993</v>
      </c>
      <c r="F56" s="8">
        <f t="shared" si="2"/>
        <v>3260.02</v>
      </c>
      <c r="G56" s="25">
        <v>3526295.9121816806</v>
      </c>
      <c r="H56" s="8">
        <f t="shared" si="3"/>
        <v>142.06014999999999</v>
      </c>
      <c r="I56" s="25">
        <v>3502657.7688607494</v>
      </c>
    </row>
    <row r="57" spans="3:9" x14ac:dyDescent="0.3">
      <c r="C57" s="15">
        <v>0</v>
      </c>
      <c r="D57" s="8">
        <f t="shared" si="1"/>
        <v>323</v>
      </c>
      <c r="E57" s="25">
        <v>3502083.5632532728</v>
      </c>
      <c r="F57" s="8">
        <f t="shared" si="2"/>
        <v>3431.6</v>
      </c>
      <c r="G57" s="25">
        <v>3502083.5632532728</v>
      </c>
      <c r="H57" s="8">
        <f t="shared" si="3"/>
        <v>149.53700000000001</v>
      </c>
      <c r="I57" s="25">
        <v>3502083.5632532728</v>
      </c>
    </row>
    <row r="58" spans="3:9" x14ac:dyDescent="0.3">
      <c r="C58" s="15">
        <v>0.05</v>
      </c>
      <c r="D58" s="8">
        <f t="shared" si="1"/>
        <v>339.15000000000003</v>
      </c>
      <c r="E58" s="25">
        <v>3474970.0931449453</v>
      </c>
      <c r="F58" s="8">
        <f t="shared" si="2"/>
        <v>3603.18</v>
      </c>
      <c r="G58" s="25">
        <v>3477871.2143248641</v>
      </c>
      <c r="H58" s="8">
        <f t="shared" si="3"/>
        <v>157.01385000000002</v>
      </c>
      <c r="I58" s="25">
        <v>3502083.5632532728</v>
      </c>
    </row>
    <row r="59" spans="3:9" x14ac:dyDescent="0.3">
      <c r="C59" s="15">
        <v>0.1</v>
      </c>
      <c r="D59" s="8">
        <f t="shared" si="1"/>
        <v>355.3</v>
      </c>
      <c r="E59" s="25">
        <v>3447856.6230366188</v>
      </c>
      <c r="F59" s="8">
        <f t="shared" si="2"/>
        <v>3774.76</v>
      </c>
      <c r="G59" s="25">
        <v>3453658.8653964563</v>
      </c>
      <c r="H59" s="8">
        <f t="shared" si="3"/>
        <v>164.49070000000003</v>
      </c>
      <c r="I59" s="25">
        <v>3502083.5632532728</v>
      </c>
    </row>
    <row r="60" spans="3:9" x14ac:dyDescent="0.3">
      <c r="C60" s="15">
        <v>0.15</v>
      </c>
      <c r="D60" s="8">
        <f t="shared" si="1"/>
        <v>371.45</v>
      </c>
      <c r="E60" s="25">
        <v>3420743.1529282914</v>
      </c>
      <c r="F60" s="8">
        <f t="shared" si="2"/>
        <v>3946.3399999999997</v>
      </c>
      <c r="G60" s="25">
        <v>3429446.5164680486</v>
      </c>
      <c r="H60" s="8">
        <f t="shared" si="3"/>
        <v>171.96754999999999</v>
      </c>
      <c r="I60" s="25">
        <v>3502083.5632532728</v>
      </c>
    </row>
    <row r="61" spans="3:9" x14ac:dyDescent="0.3">
      <c r="C61" s="15">
        <v>0.2</v>
      </c>
      <c r="D61" s="8">
        <f t="shared" si="1"/>
        <v>387.59999999999997</v>
      </c>
      <c r="E61" s="25">
        <v>3393629.6828199639</v>
      </c>
      <c r="F61" s="8">
        <f t="shared" si="2"/>
        <v>4117.92</v>
      </c>
      <c r="G61" s="25">
        <v>3405234.1675396403</v>
      </c>
      <c r="H61" s="8">
        <f t="shared" si="3"/>
        <v>179.4444</v>
      </c>
      <c r="I61" s="25">
        <v>3501509.3576457961</v>
      </c>
    </row>
    <row r="161" spans="1:2" x14ac:dyDescent="0.3">
      <c r="A161" t="s">
        <v>0</v>
      </c>
    </row>
    <row r="162" spans="1:2" x14ac:dyDescent="0.3">
      <c r="A162" s="1" t="s">
        <v>1</v>
      </c>
      <c r="B162" s="1" t="s">
        <v>2</v>
      </c>
    </row>
    <row r="163" spans="1:2" x14ac:dyDescent="0.3">
      <c r="A163" s="2" t="s">
        <v>3</v>
      </c>
      <c r="B163" s="3" t="s">
        <v>4</v>
      </c>
    </row>
    <row r="164" spans="1:2" ht="27.6" x14ac:dyDescent="0.3">
      <c r="A164" s="2" t="s">
        <v>5</v>
      </c>
      <c r="B164" s="3" t="s">
        <v>4</v>
      </c>
    </row>
    <row r="165" spans="1:2" x14ac:dyDescent="0.3">
      <c r="A165" s="4" t="s">
        <v>6</v>
      </c>
      <c r="B165" s="3" t="s">
        <v>7</v>
      </c>
    </row>
    <row r="166" spans="1:2" ht="27.6" x14ac:dyDescent="0.3">
      <c r="A166" s="2" t="s">
        <v>8</v>
      </c>
      <c r="B166" s="3" t="s">
        <v>9</v>
      </c>
    </row>
    <row r="168" spans="1:2" x14ac:dyDescent="0.3">
      <c r="A168" t="s">
        <v>10</v>
      </c>
      <c r="B168" s="5">
        <v>7.0000000000000007E-2</v>
      </c>
    </row>
    <row r="169" spans="1:2" x14ac:dyDescent="0.3">
      <c r="A169" s="7" t="s">
        <v>11</v>
      </c>
      <c r="B169" s="6">
        <v>2.4E-2</v>
      </c>
    </row>
  </sheetData>
  <mergeCells count="4">
    <mergeCell ref="C1:G1"/>
    <mergeCell ref="D50:E50"/>
    <mergeCell ref="F50:G50"/>
    <mergeCell ref="H50:I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E770-FCC0-4AD1-8521-60ADFFBDF118}">
  <dimension ref="A1:L501"/>
  <sheetViews>
    <sheetView tabSelected="1" zoomScale="71" workbookViewId="0">
      <selection activeCell="L12" sqref="L12"/>
    </sheetView>
  </sheetViews>
  <sheetFormatPr defaultRowHeight="14.4" x14ac:dyDescent="0.3"/>
  <cols>
    <col min="2" max="2" width="17" customWidth="1"/>
    <col min="3" max="3" width="15.6640625" customWidth="1"/>
    <col min="10" max="10" width="23.88671875" bestFit="1" customWidth="1"/>
    <col min="11" max="11" width="20.6640625" customWidth="1"/>
    <col min="12" max="12" width="17.5546875" customWidth="1"/>
  </cols>
  <sheetData>
    <row r="1" spans="1:12" x14ac:dyDescent="0.3">
      <c r="A1" t="s">
        <v>88</v>
      </c>
      <c r="B1" t="s">
        <v>20</v>
      </c>
      <c r="C1" t="s">
        <v>21</v>
      </c>
      <c r="J1" s="62"/>
      <c r="K1" s="62" t="s">
        <v>20</v>
      </c>
      <c r="L1" s="62" t="s">
        <v>21</v>
      </c>
    </row>
    <row r="2" spans="1:12" x14ac:dyDescent="0.3">
      <c r="A2">
        <v>1</v>
      </c>
      <c r="B2" s="77">
        <f ca="1">Stochastic!V13</f>
        <v>2301336.2010378186</v>
      </c>
      <c r="C2" s="77">
        <f ca="1">Stochastic!V14</f>
        <v>327658.50123984518</v>
      </c>
      <c r="J2" s="62" t="s">
        <v>89</v>
      </c>
      <c r="K2" s="61">
        <f ca="1">AVERAGE(B2:B501)</f>
        <v>2369200.2730113515</v>
      </c>
      <c r="L2" s="63">
        <f ca="1">AVERAGE(C2:C501)</f>
        <v>337320.8183323472</v>
      </c>
    </row>
    <row r="3" spans="1:12" x14ac:dyDescent="0.3">
      <c r="A3">
        <f>A2+1</f>
        <v>2</v>
      </c>
      <c r="B3" s="77">
        <f t="dataTable" ref="B3:C501" dt2D="0" dtr="0" r1="D2" ca="1"/>
        <v>2625476.6482945895</v>
      </c>
      <c r="C3" s="77">
        <v>373808.80865319533</v>
      </c>
      <c r="J3" s="62" t="s">
        <v>90</v>
      </c>
      <c r="K3" s="76">
        <f ca="1">_xlfn.STDEV.S(B2:B501)</f>
        <v>263251.55715247995</v>
      </c>
      <c r="L3" s="76">
        <f ca="1">_xlfn.STDEV.S(C2:C501)</f>
        <v>37481.099296457549</v>
      </c>
    </row>
    <row r="4" spans="1:12" x14ac:dyDescent="0.3">
      <c r="A4">
        <f>A3+1</f>
        <v>3</v>
      </c>
      <c r="B4" s="77">
        <v>2061049.6872806328</v>
      </c>
      <c r="C4" s="77">
        <v>293447.10747203254</v>
      </c>
      <c r="J4" s="62" t="s">
        <v>107</v>
      </c>
      <c r="K4" s="66">
        <f ca="1">COUNTIF(B2:B501,"&gt;"&amp;0)/500</f>
        <v>1</v>
      </c>
      <c r="L4" s="65">
        <f ca="1">COUNTIF(C2:C501,"&gt;"&amp;0)/500</f>
        <v>1</v>
      </c>
    </row>
    <row r="5" spans="1:12" x14ac:dyDescent="0.3">
      <c r="A5">
        <f t="shared" ref="A5:A68" si="0">A4+1</f>
        <v>4</v>
      </c>
      <c r="B5" s="77">
        <v>2854203.6428706823</v>
      </c>
      <c r="C5" s="77">
        <v>406374.38694727491</v>
      </c>
      <c r="J5" s="62" t="s">
        <v>91</v>
      </c>
      <c r="K5" s="61">
        <f ca="1">K2+_xlfn.CONFIDENCE.T(0.05,K3,500)</f>
        <v>2392330.9683553753</v>
      </c>
      <c r="L5" s="63">
        <f ca="1">L2+_xlfn.CONFIDENCE.T(0.05,L3,500)</f>
        <v>340614.10897177656</v>
      </c>
    </row>
    <row r="6" spans="1:12" x14ac:dyDescent="0.3">
      <c r="A6">
        <f t="shared" si="0"/>
        <v>5</v>
      </c>
      <c r="B6" s="77">
        <v>1993059.1496862052</v>
      </c>
      <c r="C6" s="77">
        <v>283766.7845202469</v>
      </c>
      <c r="J6" s="62" t="s">
        <v>92</v>
      </c>
      <c r="K6" s="61">
        <f ca="1">K2-_xlfn.CONFIDENCE.T(0.05,K3,500)</f>
        <v>2346069.5776673276</v>
      </c>
      <c r="L6" s="63">
        <f ca="1">L2-_xlfn.CONFIDENCE.T(0.05,L3,500)</f>
        <v>334027.52769291785</v>
      </c>
    </row>
    <row r="7" spans="1:12" x14ac:dyDescent="0.3">
      <c r="A7">
        <f t="shared" si="0"/>
        <v>6</v>
      </c>
      <c r="B7" s="77">
        <v>2775486.1183219301</v>
      </c>
      <c r="C7" s="77">
        <v>395166.78238114354</v>
      </c>
    </row>
    <row r="8" spans="1:12" x14ac:dyDescent="0.3">
      <c r="A8">
        <f t="shared" si="0"/>
        <v>7</v>
      </c>
      <c r="B8" s="77">
        <v>2465714.9811317064</v>
      </c>
      <c r="C8" s="77">
        <v>351062.3414509836</v>
      </c>
    </row>
    <row r="9" spans="1:12" x14ac:dyDescent="0.3">
      <c r="A9">
        <f t="shared" si="0"/>
        <v>8</v>
      </c>
      <c r="B9" s="77">
        <v>2734824.8267612495</v>
      </c>
      <c r="C9" s="77">
        <v>389377.52923106455</v>
      </c>
    </row>
    <row r="10" spans="1:12" x14ac:dyDescent="0.3">
      <c r="A10">
        <f t="shared" si="0"/>
        <v>9</v>
      </c>
      <c r="B10" s="77">
        <v>2220582.4796138257</v>
      </c>
      <c r="C10" s="77">
        <v>316160.98804755585</v>
      </c>
    </row>
    <row r="11" spans="1:12" x14ac:dyDescent="0.3">
      <c r="A11">
        <f t="shared" si="0"/>
        <v>10</v>
      </c>
      <c r="B11" s="77">
        <v>2548502.4234846886</v>
      </c>
      <c r="C11" s="77">
        <v>362849.41075038683</v>
      </c>
    </row>
    <row r="12" spans="1:12" x14ac:dyDescent="0.3">
      <c r="A12">
        <f t="shared" si="0"/>
        <v>11</v>
      </c>
      <c r="B12" s="77">
        <v>2371010.9693054301</v>
      </c>
      <c r="C12" s="77">
        <v>337578.62074889557</v>
      </c>
    </row>
    <row r="13" spans="1:12" x14ac:dyDescent="0.3">
      <c r="A13">
        <f t="shared" si="0"/>
        <v>12</v>
      </c>
      <c r="B13" s="77">
        <v>2342093.2402942106</v>
      </c>
      <c r="C13" s="77">
        <v>333461.38670773141</v>
      </c>
    </row>
    <row r="14" spans="1:12" x14ac:dyDescent="0.3">
      <c r="A14">
        <f t="shared" si="0"/>
        <v>13</v>
      </c>
      <c r="B14" s="77">
        <v>2177921.1947967601</v>
      </c>
      <c r="C14" s="77">
        <v>310086.98085216113</v>
      </c>
    </row>
    <row r="15" spans="1:12" x14ac:dyDescent="0.3">
      <c r="A15">
        <f t="shared" si="0"/>
        <v>14</v>
      </c>
      <c r="B15" s="77">
        <v>2114697.9540580655</v>
      </c>
      <c r="C15" s="77">
        <v>301085.41372145485</v>
      </c>
    </row>
    <row r="16" spans="1:12" x14ac:dyDescent="0.3">
      <c r="A16">
        <f t="shared" si="0"/>
        <v>15</v>
      </c>
      <c r="B16" s="77">
        <v>1843975.5687256188</v>
      </c>
      <c r="C16" s="77">
        <v>262540.63656542572</v>
      </c>
    </row>
    <row r="17" spans="1:3" x14ac:dyDescent="0.3">
      <c r="A17">
        <f t="shared" si="0"/>
        <v>16</v>
      </c>
      <c r="B17" s="77">
        <v>2806794.3112547826</v>
      </c>
      <c r="C17" s="77">
        <v>399624.36470582959</v>
      </c>
    </row>
    <row r="18" spans="1:3" x14ac:dyDescent="0.3">
      <c r="A18">
        <f t="shared" si="0"/>
        <v>17</v>
      </c>
      <c r="B18" s="77">
        <v>2249090.9078703742</v>
      </c>
      <c r="C18" s="77">
        <v>320219.94686940539</v>
      </c>
    </row>
    <row r="19" spans="1:3" x14ac:dyDescent="0.3">
      <c r="A19">
        <f t="shared" si="0"/>
        <v>18</v>
      </c>
      <c r="B19" s="77">
        <v>2415837.9127957714</v>
      </c>
      <c r="C19" s="77">
        <v>343960.96901795105</v>
      </c>
    </row>
    <row r="20" spans="1:3" x14ac:dyDescent="0.3">
      <c r="A20">
        <f t="shared" si="0"/>
        <v>19</v>
      </c>
      <c r="B20" s="77">
        <v>2680913.6367106419</v>
      </c>
      <c r="C20" s="77">
        <v>381701.78862259869</v>
      </c>
    </row>
    <row r="21" spans="1:3" x14ac:dyDescent="0.3">
      <c r="A21">
        <f t="shared" si="0"/>
        <v>20</v>
      </c>
      <c r="B21" s="77">
        <v>2223809.5684658093</v>
      </c>
      <c r="C21" s="77">
        <v>316620.45289938059</v>
      </c>
    </row>
    <row r="22" spans="1:3" x14ac:dyDescent="0.3">
      <c r="A22">
        <f t="shared" si="0"/>
        <v>21</v>
      </c>
      <c r="B22" s="77">
        <v>2036853.3485959715</v>
      </c>
      <c r="C22" s="77">
        <v>290002.09319496492</v>
      </c>
    </row>
    <row r="23" spans="1:3" x14ac:dyDescent="0.3">
      <c r="A23">
        <f t="shared" si="0"/>
        <v>22</v>
      </c>
      <c r="B23" s="77">
        <v>2395678.2901568022</v>
      </c>
      <c r="C23" s="77">
        <v>341090.69229068852</v>
      </c>
    </row>
    <row r="24" spans="1:3" x14ac:dyDescent="0.3">
      <c r="A24">
        <f t="shared" si="0"/>
        <v>23</v>
      </c>
      <c r="B24" s="77">
        <v>2480149.5116475038</v>
      </c>
      <c r="C24" s="77">
        <v>353117.49385886482</v>
      </c>
    </row>
    <row r="25" spans="1:3" x14ac:dyDescent="0.3">
      <c r="A25">
        <f t="shared" si="0"/>
        <v>24</v>
      </c>
      <c r="B25" s="77">
        <v>2328493.6647097114</v>
      </c>
      <c r="C25" s="77">
        <v>331525.11309785844</v>
      </c>
    </row>
    <row r="26" spans="1:3" x14ac:dyDescent="0.3">
      <c r="A26">
        <f t="shared" si="0"/>
        <v>25</v>
      </c>
      <c r="B26" s="77">
        <v>2492082.2329207063</v>
      </c>
      <c r="C26" s="77">
        <v>354816.44491448504</v>
      </c>
    </row>
    <row r="27" spans="1:3" x14ac:dyDescent="0.3">
      <c r="A27">
        <f t="shared" si="0"/>
        <v>26</v>
      </c>
      <c r="B27" s="77">
        <v>1895204.958853534</v>
      </c>
      <c r="C27" s="77">
        <v>269834.54919808416</v>
      </c>
    </row>
    <row r="28" spans="1:3" x14ac:dyDescent="0.3">
      <c r="A28">
        <f t="shared" si="0"/>
        <v>27</v>
      </c>
      <c r="B28" s="77">
        <v>2138700.7954312009</v>
      </c>
      <c r="C28" s="77">
        <v>304502.87833452289</v>
      </c>
    </row>
    <row r="29" spans="1:3" x14ac:dyDescent="0.3">
      <c r="A29">
        <f t="shared" si="0"/>
        <v>28</v>
      </c>
      <c r="B29" s="77">
        <v>2213762.9099461418</v>
      </c>
      <c r="C29" s="77">
        <v>315190.03474859567</v>
      </c>
    </row>
    <row r="30" spans="1:3" x14ac:dyDescent="0.3">
      <c r="A30">
        <f t="shared" si="0"/>
        <v>29</v>
      </c>
      <c r="B30" s="77">
        <v>2392988.0653602188</v>
      </c>
      <c r="C30" s="77">
        <v>340707.66480237577</v>
      </c>
    </row>
    <row r="31" spans="1:3" x14ac:dyDescent="0.3">
      <c r="A31">
        <f t="shared" si="0"/>
        <v>30</v>
      </c>
      <c r="B31" s="77">
        <v>2314960.680205252</v>
      </c>
      <c r="C31" s="77">
        <v>329598.32055966539</v>
      </c>
    </row>
    <row r="32" spans="1:3" x14ac:dyDescent="0.3">
      <c r="A32">
        <f t="shared" si="0"/>
        <v>31</v>
      </c>
      <c r="B32" s="77">
        <v>2321270.5526435184</v>
      </c>
      <c r="C32" s="77">
        <v>330496.70443995396</v>
      </c>
    </row>
    <row r="33" spans="1:3" x14ac:dyDescent="0.3">
      <c r="A33">
        <f t="shared" si="0"/>
        <v>32</v>
      </c>
      <c r="B33" s="77">
        <v>2058440.913378485</v>
      </c>
      <c r="C33" s="77">
        <v>293075.67675866437</v>
      </c>
    </row>
    <row r="34" spans="1:3" x14ac:dyDescent="0.3">
      <c r="A34">
        <f t="shared" si="0"/>
        <v>33</v>
      </c>
      <c r="B34" s="77">
        <v>2676252.0871576788</v>
      </c>
      <c r="C34" s="77">
        <v>381038.08883840794</v>
      </c>
    </row>
    <row r="35" spans="1:3" x14ac:dyDescent="0.3">
      <c r="A35">
        <f t="shared" si="0"/>
        <v>34</v>
      </c>
      <c r="B35" s="77">
        <v>2506657.8324106191</v>
      </c>
      <c r="C35" s="77">
        <v>356891.68237061304</v>
      </c>
    </row>
    <row r="36" spans="1:3" x14ac:dyDescent="0.3">
      <c r="A36">
        <f t="shared" si="0"/>
        <v>35</v>
      </c>
      <c r="B36" s="77">
        <v>2561364.8728731554</v>
      </c>
      <c r="C36" s="77">
        <v>364680.73417327384</v>
      </c>
    </row>
    <row r="37" spans="1:3" x14ac:dyDescent="0.3">
      <c r="A37">
        <f t="shared" si="0"/>
        <v>36</v>
      </c>
      <c r="B37" s="77">
        <v>2126978.6378186559</v>
      </c>
      <c r="C37" s="77">
        <v>302833.90680707217</v>
      </c>
    </row>
    <row r="38" spans="1:3" x14ac:dyDescent="0.3">
      <c r="A38">
        <f t="shared" si="0"/>
        <v>37</v>
      </c>
      <c r="B38" s="77">
        <v>2566698.0832831878</v>
      </c>
      <c r="C38" s="77">
        <v>365440.0633529739</v>
      </c>
    </row>
    <row r="39" spans="1:3" x14ac:dyDescent="0.3">
      <c r="A39">
        <f t="shared" si="0"/>
        <v>38</v>
      </c>
      <c r="B39" s="77">
        <v>2446893.3536620666</v>
      </c>
      <c r="C39" s="77">
        <v>348382.56513459154</v>
      </c>
    </row>
    <row r="40" spans="1:3" x14ac:dyDescent="0.3">
      <c r="A40">
        <f t="shared" si="0"/>
        <v>39</v>
      </c>
      <c r="B40" s="77">
        <v>1921645.0719431296</v>
      </c>
      <c r="C40" s="77">
        <v>273599.02647160995</v>
      </c>
    </row>
    <row r="41" spans="1:3" x14ac:dyDescent="0.3">
      <c r="A41">
        <f t="shared" si="0"/>
        <v>40</v>
      </c>
      <c r="B41" s="77">
        <v>2378262.9136613957</v>
      </c>
      <c r="C41" s="77">
        <v>338611.13447621575</v>
      </c>
    </row>
    <row r="42" spans="1:3" x14ac:dyDescent="0.3">
      <c r="A42">
        <f t="shared" si="0"/>
        <v>41</v>
      </c>
      <c r="B42" s="77">
        <v>2449058.5894309534</v>
      </c>
      <c r="C42" s="77">
        <v>348690.84599618154</v>
      </c>
    </row>
    <row r="43" spans="1:3" x14ac:dyDescent="0.3">
      <c r="A43">
        <f t="shared" si="0"/>
        <v>42</v>
      </c>
      <c r="B43" s="77">
        <v>2183459.9267058233</v>
      </c>
      <c r="C43" s="77">
        <v>310875.57166964997</v>
      </c>
    </row>
    <row r="44" spans="1:3" x14ac:dyDescent="0.3">
      <c r="A44">
        <f t="shared" si="0"/>
        <v>43</v>
      </c>
      <c r="B44" s="77">
        <v>1911789.6494227061</v>
      </c>
      <c r="C44" s="77">
        <v>272195.83602482901</v>
      </c>
    </row>
    <row r="45" spans="1:3" x14ac:dyDescent="0.3">
      <c r="A45">
        <f t="shared" si="0"/>
        <v>44</v>
      </c>
      <c r="B45" s="77">
        <v>2271939.2057767054</v>
      </c>
      <c r="C45" s="77">
        <v>323473.03046687972</v>
      </c>
    </row>
    <row r="46" spans="1:3" x14ac:dyDescent="0.3">
      <c r="A46">
        <f t="shared" si="0"/>
        <v>45</v>
      </c>
      <c r="B46" s="77">
        <v>2358113.3476415472</v>
      </c>
      <c r="C46" s="77">
        <v>335742.28958526958</v>
      </c>
    </row>
    <row r="47" spans="1:3" x14ac:dyDescent="0.3">
      <c r="A47">
        <f t="shared" si="0"/>
        <v>46</v>
      </c>
      <c r="B47" s="77">
        <v>2408535.6359648835</v>
      </c>
      <c r="C47" s="77">
        <v>342921.28907854529</v>
      </c>
    </row>
    <row r="48" spans="1:3" x14ac:dyDescent="0.3">
      <c r="A48">
        <f t="shared" si="0"/>
        <v>47</v>
      </c>
      <c r="B48" s="77">
        <v>2541106.5967832338</v>
      </c>
      <c r="C48" s="77">
        <v>361796.41141402937</v>
      </c>
    </row>
    <row r="49" spans="1:3" x14ac:dyDescent="0.3">
      <c r="A49">
        <f t="shared" si="0"/>
        <v>48</v>
      </c>
      <c r="B49" s="77">
        <v>1972747.1557790225</v>
      </c>
      <c r="C49" s="77">
        <v>280874.81355232879</v>
      </c>
    </row>
    <row r="50" spans="1:3" x14ac:dyDescent="0.3">
      <c r="A50">
        <f t="shared" si="0"/>
        <v>49</v>
      </c>
      <c r="B50" s="77">
        <v>2044311.5645539437</v>
      </c>
      <c r="C50" s="77">
        <v>291063.97535786236</v>
      </c>
    </row>
    <row r="51" spans="1:3" x14ac:dyDescent="0.3">
      <c r="A51">
        <f t="shared" si="0"/>
        <v>50</v>
      </c>
      <c r="B51" s="77">
        <v>2636339.5490790252</v>
      </c>
      <c r="C51" s="77">
        <v>375355.4413392584</v>
      </c>
    </row>
    <row r="52" spans="1:3" x14ac:dyDescent="0.3">
      <c r="A52">
        <f t="shared" si="0"/>
        <v>51</v>
      </c>
      <c r="B52" s="77">
        <v>2323018.3334936188</v>
      </c>
      <c r="C52" s="77">
        <v>330745.54911270598</v>
      </c>
    </row>
    <row r="53" spans="1:3" x14ac:dyDescent="0.3">
      <c r="A53">
        <f t="shared" si="0"/>
        <v>52</v>
      </c>
      <c r="B53" s="77">
        <v>2550825.1418707119</v>
      </c>
      <c r="C53" s="77">
        <v>363180.11359372782</v>
      </c>
    </row>
    <row r="54" spans="1:3" x14ac:dyDescent="0.3">
      <c r="A54">
        <f t="shared" si="0"/>
        <v>53</v>
      </c>
      <c r="B54" s="77">
        <v>1844873.1070142686</v>
      </c>
      <c r="C54" s="77">
        <v>262668.42582556588</v>
      </c>
    </row>
    <row r="55" spans="1:3" x14ac:dyDescent="0.3">
      <c r="A55">
        <f t="shared" si="0"/>
        <v>54</v>
      </c>
      <c r="B55" s="77">
        <v>2204117.3993873531</v>
      </c>
      <c r="C55" s="77">
        <v>313816.73104270489</v>
      </c>
    </row>
    <row r="56" spans="1:3" x14ac:dyDescent="0.3">
      <c r="A56">
        <f t="shared" si="0"/>
        <v>55</v>
      </c>
      <c r="B56" s="77">
        <v>2275465.1941334782</v>
      </c>
      <c r="C56" s="77">
        <v>323975.05188376276</v>
      </c>
    </row>
    <row r="57" spans="1:3" x14ac:dyDescent="0.3">
      <c r="A57">
        <f t="shared" si="0"/>
        <v>56</v>
      </c>
      <c r="B57" s="77">
        <v>2382035.2894693478</v>
      </c>
      <c r="C57" s="77">
        <v>339148.23592310108</v>
      </c>
    </row>
    <row r="58" spans="1:3" x14ac:dyDescent="0.3">
      <c r="A58">
        <f t="shared" si="0"/>
        <v>57</v>
      </c>
      <c r="B58" s="77">
        <v>2466359.2460010992</v>
      </c>
      <c r="C58" s="77">
        <v>351154.07027418271</v>
      </c>
    </row>
    <row r="59" spans="1:3" x14ac:dyDescent="0.3">
      <c r="A59">
        <f t="shared" si="0"/>
        <v>58</v>
      </c>
      <c r="B59" s="77">
        <v>2394314.0520380558</v>
      </c>
      <c r="C59" s="77">
        <v>340896.45547421597</v>
      </c>
    </row>
    <row r="60" spans="1:3" x14ac:dyDescent="0.3">
      <c r="A60">
        <f t="shared" si="0"/>
        <v>59</v>
      </c>
      <c r="B60" s="77">
        <v>3205029.0658326815</v>
      </c>
      <c r="C60" s="77">
        <v>456324.03456187586</v>
      </c>
    </row>
    <row r="61" spans="1:3" x14ac:dyDescent="0.3">
      <c r="A61">
        <f t="shared" si="0"/>
        <v>60</v>
      </c>
      <c r="B61" s="77">
        <v>2354814.3428317062</v>
      </c>
      <c r="C61" s="77">
        <v>335272.5855189588</v>
      </c>
    </row>
    <row r="62" spans="1:3" x14ac:dyDescent="0.3">
      <c r="A62">
        <f t="shared" si="0"/>
        <v>61</v>
      </c>
      <c r="B62" s="77">
        <v>2518614.8957232959</v>
      </c>
      <c r="C62" s="77">
        <v>358594.09918502497</v>
      </c>
    </row>
    <row r="63" spans="1:3" x14ac:dyDescent="0.3">
      <c r="A63">
        <f t="shared" si="0"/>
        <v>62</v>
      </c>
      <c r="B63" s="77">
        <v>1848645.0661165207</v>
      </c>
      <c r="C63" s="77">
        <v>263205.46794293425</v>
      </c>
    </row>
    <row r="64" spans="1:3" x14ac:dyDescent="0.3">
      <c r="A64">
        <f t="shared" si="0"/>
        <v>63</v>
      </c>
      <c r="B64" s="77">
        <v>2806190.1216711821</v>
      </c>
      <c r="C64" s="77">
        <v>399538.34170174267</v>
      </c>
    </row>
    <row r="65" spans="1:3" x14ac:dyDescent="0.3">
      <c r="A65">
        <f t="shared" si="0"/>
        <v>64</v>
      </c>
      <c r="B65" s="77">
        <v>2687644.9072146751</v>
      </c>
      <c r="C65" s="77">
        <v>382660.17010714527</v>
      </c>
    </row>
    <row r="66" spans="1:3" x14ac:dyDescent="0.3">
      <c r="A66">
        <f t="shared" si="0"/>
        <v>65</v>
      </c>
      <c r="B66" s="77">
        <v>2093617.4507816914</v>
      </c>
      <c r="C66" s="77">
        <v>298084.02430872864</v>
      </c>
    </row>
    <row r="67" spans="1:3" x14ac:dyDescent="0.3">
      <c r="A67">
        <f t="shared" si="0"/>
        <v>66</v>
      </c>
      <c r="B67" s="77">
        <v>2557476.2397558317</v>
      </c>
      <c r="C67" s="77">
        <v>364127.08030100638</v>
      </c>
    </row>
    <row r="68" spans="1:3" x14ac:dyDescent="0.3">
      <c r="A68">
        <f t="shared" si="0"/>
        <v>67</v>
      </c>
      <c r="B68" s="77">
        <v>1888943.9348167256</v>
      </c>
      <c r="C68" s="77">
        <v>268943.1202312074</v>
      </c>
    </row>
    <row r="69" spans="1:3" x14ac:dyDescent="0.3">
      <c r="A69">
        <f t="shared" ref="A69:A132" si="1">A68+1</f>
        <v>68</v>
      </c>
      <c r="B69" s="77">
        <v>2610842.7289063525</v>
      </c>
      <c r="C69" s="77">
        <v>371725.26775558456</v>
      </c>
    </row>
    <row r="70" spans="1:3" x14ac:dyDescent="0.3">
      <c r="A70">
        <f t="shared" si="1"/>
        <v>69</v>
      </c>
      <c r="B70" s="77">
        <v>2180266.6102458178</v>
      </c>
      <c r="C70" s="77">
        <v>310420.91524665616</v>
      </c>
    </row>
    <row r="71" spans="1:3" x14ac:dyDescent="0.3">
      <c r="A71">
        <f t="shared" si="1"/>
        <v>70</v>
      </c>
      <c r="B71" s="77">
        <v>2041117.7901444798</v>
      </c>
      <c r="C71" s="77">
        <v>290609.25373316836</v>
      </c>
    </row>
    <row r="72" spans="1:3" x14ac:dyDescent="0.3">
      <c r="A72">
        <f t="shared" si="1"/>
        <v>71</v>
      </c>
      <c r="B72" s="77">
        <v>2273900.1027551014</v>
      </c>
      <c r="C72" s="77">
        <v>323752.21808176942</v>
      </c>
    </row>
    <row r="73" spans="1:3" x14ac:dyDescent="0.3">
      <c r="A73">
        <f t="shared" si="1"/>
        <v>72</v>
      </c>
      <c r="B73" s="77">
        <v>2317866.6406228365</v>
      </c>
      <c r="C73" s="77">
        <v>330012.06394694559</v>
      </c>
    </row>
    <row r="74" spans="1:3" x14ac:dyDescent="0.3">
      <c r="A74">
        <f t="shared" si="1"/>
        <v>73</v>
      </c>
      <c r="B74" s="77">
        <v>2568306.9643494338</v>
      </c>
      <c r="C74" s="77">
        <v>365669.13182137132</v>
      </c>
    </row>
    <row r="75" spans="1:3" x14ac:dyDescent="0.3">
      <c r="A75">
        <f t="shared" si="1"/>
        <v>74</v>
      </c>
      <c r="B75" s="77">
        <v>2192300.6584395459</v>
      </c>
      <c r="C75" s="77">
        <v>312134.29297617992</v>
      </c>
    </row>
    <row r="76" spans="1:3" x14ac:dyDescent="0.3">
      <c r="A76">
        <f t="shared" si="1"/>
        <v>75</v>
      </c>
      <c r="B76" s="77">
        <v>2660898.4561112043</v>
      </c>
      <c r="C76" s="77">
        <v>378852.07719221356</v>
      </c>
    </row>
    <row r="77" spans="1:3" x14ac:dyDescent="0.3">
      <c r="A77">
        <f t="shared" si="1"/>
        <v>76</v>
      </c>
      <c r="B77" s="77">
        <v>2500744.598850904</v>
      </c>
      <c r="C77" s="77">
        <v>356049.77094333718</v>
      </c>
    </row>
    <row r="78" spans="1:3" x14ac:dyDescent="0.3">
      <c r="A78">
        <f t="shared" si="1"/>
        <v>77</v>
      </c>
      <c r="B78" s="77">
        <v>2779126.8398090275</v>
      </c>
      <c r="C78" s="77">
        <v>395685.13921460236</v>
      </c>
    </row>
    <row r="79" spans="1:3" x14ac:dyDescent="0.3">
      <c r="A79">
        <f t="shared" si="1"/>
        <v>78</v>
      </c>
      <c r="B79" s="77">
        <v>2375816.9772392968</v>
      </c>
      <c r="C79" s="77">
        <v>338262.8881566074</v>
      </c>
    </row>
    <row r="80" spans="1:3" x14ac:dyDescent="0.3">
      <c r="A80">
        <f t="shared" si="1"/>
        <v>79</v>
      </c>
      <c r="B80" s="77">
        <v>2273893.0900086653</v>
      </c>
      <c r="C80" s="77">
        <v>323751.21962444461</v>
      </c>
    </row>
    <row r="81" spans="1:3" x14ac:dyDescent="0.3">
      <c r="A81">
        <f t="shared" si="1"/>
        <v>80</v>
      </c>
      <c r="B81" s="77">
        <v>2623947.9904934587</v>
      </c>
      <c r="C81" s="77">
        <v>373591.16217294562</v>
      </c>
    </row>
    <row r="82" spans="1:3" x14ac:dyDescent="0.3">
      <c r="A82">
        <f t="shared" si="1"/>
        <v>81</v>
      </c>
      <c r="B82" s="77">
        <v>2482716.0843659802</v>
      </c>
      <c r="C82" s="77">
        <v>353482.91607308964</v>
      </c>
    </row>
    <row r="83" spans="1:3" x14ac:dyDescent="0.3">
      <c r="A83">
        <f t="shared" si="1"/>
        <v>82</v>
      </c>
      <c r="B83" s="77">
        <v>2722705.9484484196</v>
      </c>
      <c r="C83" s="77">
        <v>387652.07360102702</v>
      </c>
    </row>
    <row r="84" spans="1:3" x14ac:dyDescent="0.3">
      <c r="A84">
        <f t="shared" si="1"/>
        <v>83</v>
      </c>
      <c r="B84" s="77">
        <v>2347334.1118508903</v>
      </c>
      <c r="C84" s="77">
        <v>334207.56891208643</v>
      </c>
    </row>
    <row r="85" spans="1:3" x14ac:dyDescent="0.3">
      <c r="A85">
        <f t="shared" si="1"/>
        <v>84</v>
      </c>
      <c r="B85" s="77">
        <v>2374671.9326078435</v>
      </c>
      <c r="C85" s="77">
        <v>338099.8595614697</v>
      </c>
    </row>
    <row r="86" spans="1:3" x14ac:dyDescent="0.3">
      <c r="A86">
        <f t="shared" si="1"/>
        <v>85</v>
      </c>
      <c r="B86" s="77">
        <v>2812901.9870281261</v>
      </c>
      <c r="C86" s="77">
        <v>400493.96032990667</v>
      </c>
    </row>
    <row r="87" spans="1:3" x14ac:dyDescent="0.3">
      <c r="A87">
        <f t="shared" si="1"/>
        <v>86</v>
      </c>
      <c r="B87" s="77">
        <v>2599632.7179213162</v>
      </c>
      <c r="C87" s="77">
        <v>370129.21438598877</v>
      </c>
    </row>
    <row r="88" spans="1:3" x14ac:dyDescent="0.3">
      <c r="A88">
        <f t="shared" si="1"/>
        <v>87</v>
      </c>
      <c r="B88" s="77">
        <v>2116438.2745323181</v>
      </c>
      <c r="C88" s="77">
        <v>301333.1962045242</v>
      </c>
    </row>
    <row r="89" spans="1:3" x14ac:dyDescent="0.3">
      <c r="A89">
        <f t="shared" si="1"/>
        <v>88</v>
      </c>
      <c r="B89" s="77">
        <v>2074972.9782557436</v>
      </c>
      <c r="C89" s="77">
        <v>295429.47087081528</v>
      </c>
    </row>
    <row r="90" spans="1:3" x14ac:dyDescent="0.3">
      <c r="A90">
        <f t="shared" si="1"/>
        <v>89</v>
      </c>
      <c r="B90" s="77">
        <v>2278306.8581197178</v>
      </c>
      <c r="C90" s="77">
        <v>324379.6409057139</v>
      </c>
    </row>
    <row r="91" spans="1:3" x14ac:dyDescent="0.3">
      <c r="A91">
        <f t="shared" si="1"/>
        <v>90</v>
      </c>
      <c r="B91" s="77">
        <v>2225717.2614479116</v>
      </c>
      <c r="C91" s="77">
        <v>316892.06546214281</v>
      </c>
    </row>
    <row r="92" spans="1:3" x14ac:dyDescent="0.3">
      <c r="A92">
        <f t="shared" si="1"/>
        <v>91</v>
      </c>
      <c r="B92" s="77">
        <v>2269913.8042059494</v>
      </c>
      <c r="C92" s="77">
        <v>323184.65884921543</v>
      </c>
    </row>
    <row r="93" spans="1:3" x14ac:dyDescent="0.3">
      <c r="A93">
        <f t="shared" si="1"/>
        <v>92</v>
      </c>
      <c r="B93" s="77">
        <v>2414970.5671954025</v>
      </c>
      <c r="C93" s="77">
        <v>343837.4785173689</v>
      </c>
    </row>
    <row r="94" spans="1:3" x14ac:dyDescent="0.3">
      <c r="A94">
        <f t="shared" si="1"/>
        <v>93</v>
      </c>
      <c r="B94" s="77">
        <v>2439245.2630059663</v>
      </c>
      <c r="C94" s="77">
        <v>347293.64908634342</v>
      </c>
    </row>
    <row r="95" spans="1:3" x14ac:dyDescent="0.3">
      <c r="A95">
        <f t="shared" si="1"/>
        <v>94</v>
      </c>
      <c r="B95" s="77">
        <v>2285651.5813866416</v>
      </c>
      <c r="C95" s="77">
        <v>325425.36426268204</v>
      </c>
    </row>
    <row r="96" spans="1:3" x14ac:dyDescent="0.3">
      <c r="A96">
        <f t="shared" si="1"/>
        <v>95</v>
      </c>
      <c r="B96" s="77">
        <v>2380838.4375449</v>
      </c>
      <c r="C96" s="77">
        <v>338977.83113496378</v>
      </c>
    </row>
    <row r="97" spans="1:3" x14ac:dyDescent="0.3">
      <c r="A97">
        <f t="shared" si="1"/>
        <v>96</v>
      </c>
      <c r="B97" s="77">
        <v>2362244.6339645721</v>
      </c>
      <c r="C97" s="77">
        <v>336330.4918149935</v>
      </c>
    </row>
    <row r="98" spans="1:3" x14ac:dyDescent="0.3">
      <c r="A98">
        <f t="shared" si="1"/>
        <v>97</v>
      </c>
      <c r="B98" s="77">
        <v>2593624.0887463684</v>
      </c>
      <c r="C98" s="77">
        <v>369273.72076924489</v>
      </c>
    </row>
    <row r="99" spans="1:3" x14ac:dyDescent="0.3">
      <c r="A99">
        <f t="shared" si="1"/>
        <v>98</v>
      </c>
      <c r="B99" s="77">
        <v>1659832.4656324296</v>
      </c>
      <c r="C99" s="77">
        <v>236322.80140254978</v>
      </c>
    </row>
    <row r="100" spans="1:3" x14ac:dyDescent="0.3">
      <c r="A100">
        <f t="shared" si="1"/>
        <v>99</v>
      </c>
      <c r="B100" s="77">
        <v>2128725.5098293065</v>
      </c>
      <c r="C100" s="77">
        <v>303082.62208153296</v>
      </c>
    </row>
    <row r="101" spans="1:3" x14ac:dyDescent="0.3">
      <c r="A101">
        <f t="shared" si="1"/>
        <v>100</v>
      </c>
      <c r="B101" s="77">
        <v>2506225.0839934563</v>
      </c>
      <c r="C101" s="77">
        <v>356830.06873166817</v>
      </c>
    </row>
    <row r="102" spans="1:3" x14ac:dyDescent="0.3">
      <c r="A102">
        <f t="shared" si="1"/>
        <v>101</v>
      </c>
      <c r="B102" s="77">
        <v>2572409.1421126835</v>
      </c>
      <c r="C102" s="77">
        <v>366253.18964704656</v>
      </c>
    </row>
    <row r="103" spans="1:3" x14ac:dyDescent="0.3">
      <c r="A103">
        <f t="shared" si="1"/>
        <v>102</v>
      </c>
      <c r="B103" s="77">
        <v>2751171.5732531399</v>
      </c>
      <c r="C103" s="77">
        <v>391704.93817429722</v>
      </c>
    </row>
    <row r="104" spans="1:3" x14ac:dyDescent="0.3">
      <c r="A104">
        <f t="shared" si="1"/>
        <v>103</v>
      </c>
      <c r="B104" s="77">
        <v>2057262.2423490025</v>
      </c>
      <c r="C104" s="77">
        <v>292907.86052094959</v>
      </c>
    </row>
    <row r="105" spans="1:3" x14ac:dyDescent="0.3">
      <c r="A105">
        <f t="shared" si="1"/>
        <v>104</v>
      </c>
      <c r="B105" s="77">
        <v>2138490.7330615083</v>
      </c>
      <c r="C105" s="77">
        <v>304472.97017890908</v>
      </c>
    </row>
    <row r="106" spans="1:3" x14ac:dyDescent="0.3">
      <c r="A106">
        <f t="shared" si="1"/>
        <v>105</v>
      </c>
      <c r="B106" s="77">
        <v>2359115.4171822146</v>
      </c>
      <c r="C106" s="77">
        <v>335884.9617440289</v>
      </c>
    </row>
    <row r="107" spans="1:3" x14ac:dyDescent="0.3">
      <c r="A107">
        <f t="shared" si="1"/>
        <v>106</v>
      </c>
      <c r="B107" s="77">
        <v>2701763.0443248097</v>
      </c>
      <c r="C107" s="77">
        <v>384670.27521204879</v>
      </c>
    </row>
    <row r="108" spans="1:3" x14ac:dyDescent="0.3">
      <c r="A108">
        <f t="shared" si="1"/>
        <v>107</v>
      </c>
      <c r="B108" s="77">
        <v>2050589.1660311581</v>
      </c>
      <c r="C108" s="77">
        <v>291957.76457930577</v>
      </c>
    </row>
    <row r="109" spans="1:3" x14ac:dyDescent="0.3">
      <c r="A109">
        <f t="shared" si="1"/>
        <v>108</v>
      </c>
      <c r="B109" s="77">
        <v>2388343.3714314238</v>
      </c>
      <c r="C109" s="77">
        <v>340046.36487986101</v>
      </c>
    </row>
    <row r="110" spans="1:3" x14ac:dyDescent="0.3">
      <c r="A110">
        <f t="shared" si="1"/>
        <v>109</v>
      </c>
      <c r="B110" s="77">
        <v>2726612.0979738012</v>
      </c>
      <c r="C110" s="77">
        <v>388208.22141573054</v>
      </c>
    </row>
    <row r="111" spans="1:3" x14ac:dyDescent="0.3">
      <c r="A111">
        <f t="shared" si="1"/>
        <v>110</v>
      </c>
      <c r="B111" s="77">
        <v>1954783.9379504118</v>
      </c>
      <c r="C111" s="77">
        <v>278317.25545694353</v>
      </c>
    </row>
    <row r="112" spans="1:3" x14ac:dyDescent="0.3">
      <c r="A112">
        <f t="shared" si="1"/>
        <v>111</v>
      </c>
      <c r="B112" s="77">
        <v>2320408.0720932954</v>
      </c>
      <c r="C112" s="77">
        <v>330373.90661306225</v>
      </c>
    </row>
    <row r="113" spans="1:3" x14ac:dyDescent="0.3">
      <c r="A113">
        <f t="shared" si="1"/>
        <v>112</v>
      </c>
      <c r="B113" s="77">
        <v>2615831.6565544237</v>
      </c>
      <c r="C113" s="77">
        <v>372435.5788154045</v>
      </c>
    </row>
    <row r="114" spans="1:3" x14ac:dyDescent="0.3">
      <c r="A114">
        <f t="shared" si="1"/>
        <v>113</v>
      </c>
      <c r="B114" s="77">
        <v>1952443.6852103786</v>
      </c>
      <c r="C114" s="77">
        <v>277984.05611606676</v>
      </c>
    </row>
    <row r="115" spans="1:3" x14ac:dyDescent="0.3">
      <c r="A115">
        <f t="shared" si="1"/>
        <v>114</v>
      </c>
      <c r="B115" s="77">
        <v>2700710.1265261755</v>
      </c>
      <c r="C115" s="77">
        <v>384520.36340530205</v>
      </c>
    </row>
    <row r="116" spans="1:3" x14ac:dyDescent="0.3">
      <c r="A116">
        <f t="shared" si="1"/>
        <v>115</v>
      </c>
      <c r="B116" s="77">
        <v>2581752.8298414098</v>
      </c>
      <c r="C116" s="77">
        <v>367583.5205721269</v>
      </c>
    </row>
    <row r="117" spans="1:3" x14ac:dyDescent="0.3">
      <c r="A117">
        <f t="shared" si="1"/>
        <v>116</v>
      </c>
      <c r="B117" s="77">
        <v>2019362.2630606466</v>
      </c>
      <c r="C117" s="77">
        <v>287511.75611645461</v>
      </c>
    </row>
    <row r="118" spans="1:3" x14ac:dyDescent="0.3">
      <c r="A118">
        <f t="shared" si="1"/>
        <v>117</v>
      </c>
      <c r="B118" s="77">
        <v>2179818.8855467117</v>
      </c>
      <c r="C118" s="77">
        <v>310357.16932208807</v>
      </c>
    </row>
    <row r="119" spans="1:3" x14ac:dyDescent="0.3">
      <c r="A119">
        <f t="shared" si="1"/>
        <v>118</v>
      </c>
      <c r="B119" s="77">
        <v>2205155.6996274944</v>
      </c>
      <c r="C119" s="77">
        <v>313964.56163797743</v>
      </c>
    </row>
    <row r="120" spans="1:3" x14ac:dyDescent="0.3">
      <c r="A120">
        <f t="shared" si="1"/>
        <v>119</v>
      </c>
      <c r="B120" s="77">
        <v>2072743.8654165652</v>
      </c>
      <c r="C120" s="77">
        <v>295112.09535147547</v>
      </c>
    </row>
    <row r="121" spans="1:3" x14ac:dyDescent="0.3">
      <c r="A121">
        <f t="shared" si="1"/>
        <v>120</v>
      </c>
      <c r="B121" s="77">
        <v>2605763.1590086739</v>
      </c>
      <c r="C121" s="77">
        <v>371002.05127862399</v>
      </c>
    </row>
    <row r="122" spans="1:3" x14ac:dyDescent="0.3">
      <c r="A122">
        <f t="shared" si="1"/>
        <v>121</v>
      </c>
      <c r="B122" s="77">
        <v>2231655.485811532</v>
      </c>
      <c r="C122" s="77">
        <v>317737.5350176699</v>
      </c>
    </row>
    <row r="123" spans="1:3" x14ac:dyDescent="0.3">
      <c r="A123">
        <f t="shared" si="1"/>
        <v>122</v>
      </c>
      <c r="B123" s="77">
        <v>1750531.58118064</v>
      </c>
      <c r="C123" s="77">
        <v>249236.31497388467</v>
      </c>
    </row>
    <row r="124" spans="1:3" x14ac:dyDescent="0.3">
      <c r="A124">
        <f t="shared" si="1"/>
        <v>123</v>
      </c>
      <c r="B124" s="77">
        <v>2540132.2841704134</v>
      </c>
      <c r="C124" s="77">
        <v>361657.69121734024</v>
      </c>
    </row>
    <row r="125" spans="1:3" x14ac:dyDescent="0.3">
      <c r="A125">
        <f t="shared" si="1"/>
        <v>124</v>
      </c>
      <c r="B125" s="77">
        <v>2365897.9267097753</v>
      </c>
      <c r="C125" s="77">
        <v>336850.63851278758</v>
      </c>
    </row>
    <row r="126" spans="1:3" x14ac:dyDescent="0.3">
      <c r="A126">
        <f t="shared" si="1"/>
        <v>125</v>
      </c>
      <c r="B126" s="77">
        <v>1881506.8180275324</v>
      </c>
      <c r="C126" s="77">
        <v>267884.24211527029</v>
      </c>
    </row>
    <row r="127" spans="1:3" x14ac:dyDescent="0.3">
      <c r="A127">
        <f t="shared" si="1"/>
        <v>126</v>
      </c>
      <c r="B127" s="77">
        <v>2471242.8438754873</v>
      </c>
      <c r="C127" s="77">
        <v>351849.38474386273</v>
      </c>
    </row>
    <row r="128" spans="1:3" x14ac:dyDescent="0.3">
      <c r="A128">
        <f t="shared" si="1"/>
        <v>127</v>
      </c>
      <c r="B128" s="77">
        <v>2880263.4014552934</v>
      </c>
      <c r="C128" s="77">
        <v>410084.71029622987</v>
      </c>
    </row>
    <row r="129" spans="1:3" x14ac:dyDescent="0.3">
      <c r="A129">
        <f t="shared" si="1"/>
        <v>128</v>
      </c>
      <c r="B129" s="77">
        <v>2487637.2425121041</v>
      </c>
      <c r="C129" s="77">
        <v>354183.57828046114</v>
      </c>
    </row>
    <row r="130" spans="1:3" x14ac:dyDescent="0.3">
      <c r="A130">
        <f t="shared" si="1"/>
        <v>129</v>
      </c>
      <c r="B130" s="77">
        <v>2520228.3439247445</v>
      </c>
      <c r="C130" s="77">
        <v>358823.81791072723</v>
      </c>
    </row>
    <row r="131" spans="1:3" x14ac:dyDescent="0.3">
      <c r="A131">
        <f t="shared" si="1"/>
        <v>130</v>
      </c>
      <c r="B131" s="77">
        <v>2730422.1430745539</v>
      </c>
      <c r="C131" s="77">
        <v>388750.68612245435</v>
      </c>
    </row>
    <row r="132" spans="1:3" x14ac:dyDescent="0.3">
      <c r="A132">
        <f t="shared" si="1"/>
        <v>131</v>
      </c>
      <c r="B132" s="77">
        <v>1881549.504788633</v>
      </c>
      <c r="C132" s="77">
        <v>267890.31974971533</v>
      </c>
    </row>
    <row r="133" spans="1:3" x14ac:dyDescent="0.3">
      <c r="A133">
        <f t="shared" ref="A133:A196" si="2">A132+1</f>
        <v>132</v>
      </c>
      <c r="B133" s="77">
        <v>2457761.4449705742</v>
      </c>
      <c r="C133" s="77">
        <v>349929.93683450983</v>
      </c>
    </row>
    <row r="134" spans="1:3" x14ac:dyDescent="0.3">
      <c r="A134">
        <f t="shared" si="2"/>
        <v>133</v>
      </c>
      <c r="B134" s="77">
        <v>2421480.3038608581</v>
      </c>
      <c r="C134" s="77">
        <v>344764.31856720929</v>
      </c>
    </row>
    <row r="135" spans="1:3" x14ac:dyDescent="0.3">
      <c r="A135">
        <f t="shared" si="2"/>
        <v>134</v>
      </c>
      <c r="B135" s="77">
        <v>2274036.6652882532</v>
      </c>
      <c r="C135" s="77">
        <v>323771.66151420563</v>
      </c>
    </row>
    <row r="136" spans="1:3" x14ac:dyDescent="0.3">
      <c r="A136">
        <f t="shared" si="2"/>
        <v>135</v>
      </c>
      <c r="B136" s="77">
        <v>2570734.0463813776</v>
      </c>
      <c r="C136" s="77">
        <v>366014.69369999395</v>
      </c>
    </row>
    <row r="137" spans="1:3" x14ac:dyDescent="0.3">
      <c r="A137">
        <f t="shared" si="2"/>
        <v>136</v>
      </c>
      <c r="B137" s="77">
        <v>2462749.4400383462</v>
      </c>
      <c r="C137" s="77">
        <v>350640.11511587561</v>
      </c>
    </row>
    <row r="138" spans="1:3" x14ac:dyDescent="0.3">
      <c r="A138">
        <f t="shared" si="2"/>
        <v>137</v>
      </c>
      <c r="B138" s="77">
        <v>2519350.8209614055</v>
      </c>
      <c r="C138" s="77">
        <v>358698.8783826211</v>
      </c>
    </row>
    <row r="139" spans="1:3" x14ac:dyDescent="0.3">
      <c r="A139">
        <f t="shared" si="2"/>
        <v>138</v>
      </c>
      <c r="B139" s="77">
        <v>2029938.8957861606</v>
      </c>
      <c r="C139" s="77">
        <v>289017.63067117782</v>
      </c>
    </row>
    <row r="140" spans="1:3" x14ac:dyDescent="0.3">
      <c r="A140">
        <f t="shared" si="2"/>
        <v>139</v>
      </c>
      <c r="B140" s="77">
        <v>2017449.0984251599</v>
      </c>
      <c r="C140" s="77">
        <v>287239.36451334774</v>
      </c>
    </row>
    <row r="141" spans="1:3" x14ac:dyDescent="0.3">
      <c r="A141">
        <f t="shared" si="2"/>
        <v>140</v>
      </c>
      <c r="B141" s="77">
        <v>2580176.6081058728</v>
      </c>
      <c r="C141" s="77">
        <v>367359.10205767659</v>
      </c>
    </row>
    <row r="142" spans="1:3" x14ac:dyDescent="0.3">
      <c r="A142">
        <f t="shared" si="2"/>
        <v>141</v>
      </c>
      <c r="B142" s="77">
        <v>2238444.2067411286</v>
      </c>
      <c r="C142" s="77">
        <v>318704.09615033882</v>
      </c>
    </row>
    <row r="143" spans="1:3" x14ac:dyDescent="0.3">
      <c r="A143">
        <f t="shared" si="2"/>
        <v>142</v>
      </c>
      <c r="B143" s="77">
        <v>2843195.2790146745</v>
      </c>
      <c r="C143" s="77">
        <v>404807.04359234235</v>
      </c>
    </row>
    <row r="144" spans="1:3" x14ac:dyDescent="0.3">
      <c r="A144">
        <f t="shared" si="2"/>
        <v>143</v>
      </c>
      <c r="B144" s="77">
        <v>2105162.1975834491</v>
      </c>
      <c r="C144" s="77">
        <v>299727.73652798263</v>
      </c>
    </row>
    <row r="145" spans="1:3" x14ac:dyDescent="0.3">
      <c r="A145">
        <f t="shared" si="2"/>
        <v>144</v>
      </c>
      <c r="B145" s="77">
        <v>2095574.5630739108</v>
      </c>
      <c r="C145" s="77">
        <v>298362.67306945188</v>
      </c>
    </row>
    <row r="146" spans="1:3" x14ac:dyDescent="0.3">
      <c r="A146">
        <f t="shared" si="2"/>
        <v>145</v>
      </c>
      <c r="B146" s="77">
        <v>2363596.4958285401</v>
      </c>
      <c r="C146" s="77">
        <v>336522.96653121762</v>
      </c>
    </row>
    <row r="147" spans="1:3" x14ac:dyDescent="0.3">
      <c r="A147">
        <f t="shared" si="2"/>
        <v>146</v>
      </c>
      <c r="B147" s="77">
        <v>2201268.9895616453</v>
      </c>
      <c r="C147" s="77">
        <v>313411.18156497658</v>
      </c>
    </row>
    <row r="148" spans="1:3" x14ac:dyDescent="0.3">
      <c r="A148">
        <f t="shared" si="2"/>
        <v>147</v>
      </c>
      <c r="B148" s="77">
        <v>2497287.2918213387</v>
      </c>
      <c r="C148" s="77">
        <v>355557.52820230596</v>
      </c>
    </row>
    <row r="149" spans="1:3" x14ac:dyDescent="0.3">
      <c r="A149">
        <f t="shared" si="2"/>
        <v>148</v>
      </c>
      <c r="B149" s="77">
        <v>2433909.7936281431</v>
      </c>
      <c r="C149" s="77">
        <v>346533.9982804507</v>
      </c>
    </row>
    <row r="150" spans="1:3" x14ac:dyDescent="0.3">
      <c r="A150">
        <f t="shared" si="2"/>
        <v>149</v>
      </c>
      <c r="B150" s="77">
        <v>1800650.2125831868</v>
      </c>
      <c r="C150" s="77">
        <v>256372.08055309256</v>
      </c>
    </row>
    <row r="151" spans="1:3" x14ac:dyDescent="0.3">
      <c r="A151">
        <f t="shared" si="2"/>
        <v>150</v>
      </c>
      <c r="B151" s="77">
        <v>2348467.9590406897</v>
      </c>
      <c r="C151" s="77">
        <v>334369.00324344449</v>
      </c>
    </row>
    <row r="152" spans="1:3" x14ac:dyDescent="0.3">
      <c r="A152">
        <f t="shared" si="2"/>
        <v>151</v>
      </c>
      <c r="B152" s="77">
        <v>2397341.6290615215</v>
      </c>
      <c r="C152" s="77">
        <v>341327.51433013176</v>
      </c>
    </row>
    <row r="153" spans="1:3" x14ac:dyDescent="0.3">
      <c r="A153">
        <f t="shared" si="2"/>
        <v>152</v>
      </c>
      <c r="B153" s="77">
        <v>2676044.038544172</v>
      </c>
      <c r="C153" s="77">
        <v>381008.46739637095</v>
      </c>
    </row>
    <row r="154" spans="1:3" x14ac:dyDescent="0.3">
      <c r="A154">
        <f t="shared" si="2"/>
        <v>153</v>
      </c>
      <c r="B154" s="77">
        <v>2326972.1301721986</v>
      </c>
      <c r="C154" s="77">
        <v>331308.48081009393</v>
      </c>
    </row>
    <row r="155" spans="1:3" x14ac:dyDescent="0.3">
      <c r="A155">
        <f t="shared" si="2"/>
        <v>154</v>
      </c>
      <c r="B155" s="77">
        <v>2498771.2876707246</v>
      </c>
      <c r="C155" s="77">
        <v>355768.81582539924</v>
      </c>
    </row>
    <row r="156" spans="1:3" x14ac:dyDescent="0.3">
      <c r="A156">
        <f t="shared" si="2"/>
        <v>155</v>
      </c>
      <c r="B156" s="77">
        <v>2431222.2391569507</v>
      </c>
      <c r="C156" s="77">
        <v>346151.35098639852</v>
      </c>
    </row>
    <row r="157" spans="1:3" x14ac:dyDescent="0.3">
      <c r="A157">
        <f t="shared" si="2"/>
        <v>156</v>
      </c>
      <c r="B157" s="77">
        <v>2039020.9282583499</v>
      </c>
      <c r="C157" s="77">
        <v>290310.70777425694</v>
      </c>
    </row>
    <row r="158" spans="1:3" x14ac:dyDescent="0.3">
      <c r="A158">
        <f t="shared" si="2"/>
        <v>157</v>
      </c>
      <c r="B158" s="77">
        <v>2395999.0837587561</v>
      </c>
      <c r="C158" s="77">
        <v>341136.3660826257</v>
      </c>
    </row>
    <row r="159" spans="1:3" x14ac:dyDescent="0.3">
      <c r="A159">
        <f t="shared" si="2"/>
        <v>158</v>
      </c>
      <c r="B159" s="77">
        <v>2327569.4059093893</v>
      </c>
      <c r="C159" s="77">
        <v>331393.51943799475</v>
      </c>
    </row>
    <row r="160" spans="1:3" x14ac:dyDescent="0.3">
      <c r="A160">
        <f t="shared" si="2"/>
        <v>159</v>
      </c>
      <c r="B160" s="77">
        <v>2186181.2924814303</v>
      </c>
      <c r="C160" s="77">
        <v>311263.0329327886</v>
      </c>
    </row>
    <row r="161" spans="1:3" x14ac:dyDescent="0.3">
      <c r="A161">
        <f t="shared" si="2"/>
        <v>160</v>
      </c>
      <c r="B161" s="77">
        <v>2545579.8026333256</v>
      </c>
      <c r="C161" s="77">
        <v>362433.29529215087</v>
      </c>
    </row>
    <row r="162" spans="1:3" x14ac:dyDescent="0.3">
      <c r="A162">
        <f t="shared" si="2"/>
        <v>161</v>
      </c>
      <c r="B162" s="77">
        <v>2164853.4781198404</v>
      </c>
      <c r="C162" s="77">
        <v>308226.4319853526</v>
      </c>
    </row>
    <row r="163" spans="1:3" x14ac:dyDescent="0.3">
      <c r="A163">
        <f t="shared" si="2"/>
        <v>162</v>
      </c>
      <c r="B163" s="77">
        <v>2927169.5596270417</v>
      </c>
      <c r="C163" s="77">
        <v>416763.09195925813</v>
      </c>
    </row>
    <row r="164" spans="1:3" x14ac:dyDescent="0.3">
      <c r="A164">
        <f t="shared" si="2"/>
        <v>163</v>
      </c>
      <c r="B164" s="77">
        <v>2402532.8176723532</v>
      </c>
      <c r="C164" s="77">
        <v>342066.62280072877</v>
      </c>
    </row>
    <row r="165" spans="1:3" x14ac:dyDescent="0.3">
      <c r="A165">
        <f t="shared" si="2"/>
        <v>164</v>
      </c>
      <c r="B165" s="77">
        <v>2777209.8690874637</v>
      </c>
      <c r="C165" s="77">
        <v>395412.20571046456</v>
      </c>
    </row>
    <row r="166" spans="1:3" x14ac:dyDescent="0.3">
      <c r="A166">
        <f t="shared" si="2"/>
        <v>165</v>
      </c>
      <c r="B166" s="77">
        <v>2738074.9761039531</v>
      </c>
      <c r="C166" s="77">
        <v>389840.27737796964</v>
      </c>
    </row>
    <row r="167" spans="1:3" x14ac:dyDescent="0.3">
      <c r="A167">
        <f t="shared" si="2"/>
        <v>166</v>
      </c>
      <c r="B167" s="77">
        <v>1861624.0052228787</v>
      </c>
      <c r="C167" s="77">
        <v>265053.37688094808</v>
      </c>
    </row>
    <row r="168" spans="1:3" x14ac:dyDescent="0.3">
      <c r="A168">
        <f t="shared" si="2"/>
        <v>167</v>
      </c>
      <c r="B168" s="77">
        <v>2069640.0266700354</v>
      </c>
      <c r="C168" s="77">
        <v>294670.1785418762</v>
      </c>
    </row>
    <row r="169" spans="1:3" x14ac:dyDescent="0.3">
      <c r="A169">
        <f t="shared" si="2"/>
        <v>168</v>
      </c>
      <c r="B169" s="77">
        <v>2369297.3910659193</v>
      </c>
      <c r="C169" s="77">
        <v>337334.64575842605</v>
      </c>
    </row>
    <row r="170" spans="1:3" x14ac:dyDescent="0.3">
      <c r="A170">
        <f t="shared" si="2"/>
        <v>169</v>
      </c>
      <c r="B170" s="77">
        <v>2380371.1465986078</v>
      </c>
      <c r="C170" s="77">
        <v>338911.29941698356</v>
      </c>
    </row>
    <row r="171" spans="1:3" x14ac:dyDescent="0.3">
      <c r="A171">
        <f t="shared" si="2"/>
        <v>170</v>
      </c>
      <c r="B171" s="77">
        <v>2305681.6927316915</v>
      </c>
      <c r="C171" s="77">
        <v>328277.20149534132</v>
      </c>
    </row>
    <row r="172" spans="1:3" x14ac:dyDescent="0.3">
      <c r="A172">
        <f t="shared" si="2"/>
        <v>171</v>
      </c>
      <c r="B172" s="77">
        <v>2058820.4965306602</v>
      </c>
      <c r="C172" s="77">
        <v>293129.72085994849</v>
      </c>
    </row>
    <row r="173" spans="1:3" x14ac:dyDescent="0.3">
      <c r="A173">
        <f t="shared" si="2"/>
        <v>172</v>
      </c>
      <c r="B173" s="77">
        <v>2700862.2027110867</v>
      </c>
      <c r="C173" s="77">
        <v>384542.01563273405</v>
      </c>
    </row>
    <row r="174" spans="1:3" x14ac:dyDescent="0.3">
      <c r="A174">
        <f t="shared" si="2"/>
        <v>173</v>
      </c>
      <c r="B174" s="77">
        <v>2575467.8255210803</v>
      </c>
      <c r="C174" s="77">
        <v>366688.67735236767</v>
      </c>
    </row>
    <row r="175" spans="1:3" x14ac:dyDescent="0.3">
      <c r="A175">
        <f t="shared" si="2"/>
        <v>174</v>
      </c>
      <c r="B175" s="77">
        <v>2533372.795992035</v>
      </c>
      <c r="C175" s="77">
        <v>360695.29217078752</v>
      </c>
    </row>
    <row r="176" spans="1:3" x14ac:dyDescent="0.3">
      <c r="A176">
        <f t="shared" si="2"/>
        <v>175</v>
      </c>
      <c r="B176" s="77">
        <v>2528856.1195725063</v>
      </c>
      <c r="C176" s="77">
        <v>360052.21906154748</v>
      </c>
    </row>
    <row r="177" spans="1:3" x14ac:dyDescent="0.3">
      <c r="A177">
        <f t="shared" si="2"/>
        <v>176</v>
      </c>
      <c r="B177" s="77">
        <v>1770237.8635848321</v>
      </c>
      <c r="C177" s="77">
        <v>252042.04625063375</v>
      </c>
    </row>
    <row r="178" spans="1:3" x14ac:dyDescent="0.3">
      <c r="A178">
        <f t="shared" si="2"/>
        <v>177</v>
      </c>
      <c r="B178" s="77">
        <v>2620447.9485268504</v>
      </c>
      <c r="C178" s="77">
        <v>373092.83493829897</v>
      </c>
    </row>
    <row r="179" spans="1:3" x14ac:dyDescent="0.3">
      <c r="A179">
        <f t="shared" si="2"/>
        <v>178</v>
      </c>
      <c r="B179" s="77">
        <v>2698380.909963341</v>
      </c>
      <c r="C179" s="77">
        <v>384188.73536777444</v>
      </c>
    </row>
    <row r="180" spans="1:3" x14ac:dyDescent="0.3">
      <c r="A180">
        <f t="shared" si="2"/>
        <v>179</v>
      </c>
      <c r="B180" s="77">
        <v>2413207.5964852031</v>
      </c>
      <c r="C180" s="77">
        <v>343586.47115026927</v>
      </c>
    </row>
    <row r="181" spans="1:3" x14ac:dyDescent="0.3">
      <c r="A181">
        <f t="shared" si="2"/>
        <v>180</v>
      </c>
      <c r="B181" s="77">
        <v>2359576.4680470927</v>
      </c>
      <c r="C181" s="77">
        <v>335950.60501480056</v>
      </c>
    </row>
    <row r="182" spans="1:3" x14ac:dyDescent="0.3">
      <c r="A182">
        <f t="shared" si="2"/>
        <v>181</v>
      </c>
      <c r="B182" s="77">
        <v>2351735.0812024768</v>
      </c>
      <c r="C182" s="77">
        <v>334834.16793794493</v>
      </c>
    </row>
    <row r="183" spans="1:3" x14ac:dyDescent="0.3">
      <c r="A183">
        <f t="shared" si="2"/>
        <v>182</v>
      </c>
      <c r="B183" s="77">
        <v>2830218.7787311291</v>
      </c>
      <c r="C183" s="77">
        <v>402959.48188783019</v>
      </c>
    </row>
    <row r="184" spans="1:3" x14ac:dyDescent="0.3">
      <c r="A184">
        <f t="shared" si="2"/>
        <v>183</v>
      </c>
      <c r="B184" s="77">
        <v>2085153.0247128571</v>
      </c>
      <c r="C184" s="77">
        <v>296878.88046302763</v>
      </c>
    </row>
    <row r="185" spans="1:3" x14ac:dyDescent="0.3">
      <c r="A185">
        <f t="shared" si="2"/>
        <v>184</v>
      </c>
      <c r="B185" s="77">
        <v>2524041.2802767213</v>
      </c>
      <c r="C185" s="77">
        <v>359366.69426658005</v>
      </c>
    </row>
    <row r="186" spans="1:3" x14ac:dyDescent="0.3">
      <c r="A186">
        <f t="shared" si="2"/>
        <v>185</v>
      </c>
      <c r="B186" s="77">
        <v>2665322.7814471577</v>
      </c>
      <c r="C186" s="77">
        <v>379482.00158480002</v>
      </c>
    </row>
    <row r="187" spans="1:3" x14ac:dyDescent="0.3">
      <c r="A187">
        <f t="shared" si="2"/>
        <v>186</v>
      </c>
      <c r="B187" s="77">
        <v>2471625.1437294954</v>
      </c>
      <c r="C187" s="77">
        <v>351903.81564236945</v>
      </c>
    </row>
    <row r="188" spans="1:3" x14ac:dyDescent="0.3">
      <c r="A188">
        <f t="shared" si="2"/>
        <v>187</v>
      </c>
      <c r="B188" s="77">
        <v>2466829.8589407103</v>
      </c>
      <c r="C188" s="77">
        <v>351221.07496927574</v>
      </c>
    </row>
    <row r="189" spans="1:3" x14ac:dyDescent="0.3">
      <c r="A189">
        <f t="shared" si="2"/>
        <v>188</v>
      </c>
      <c r="B189" s="77">
        <v>2185772.3608982675</v>
      </c>
      <c r="C189" s="77">
        <v>311204.81027519156</v>
      </c>
    </row>
    <row r="190" spans="1:3" x14ac:dyDescent="0.3">
      <c r="A190">
        <f t="shared" si="2"/>
        <v>189</v>
      </c>
      <c r="B190" s="77">
        <v>2826640.5445488845</v>
      </c>
      <c r="C190" s="77">
        <v>402450.02184078848</v>
      </c>
    </row>
    <row r="191" spans="1:3" x14ac:dyDescent="0.3">
      <c r="A191">
        <f t="shared" si="2"/>
        <v>190</v>
      </c>
      <c r="B191" s="77">
        <v>2245401.2334165797</v>
      </c>
      <c r="C191" s="77">
        <v>319694.62023479718</v>
      </c>
    </row>
    <row r="192" spans="1:3" x14ac:dyDescent="0.3">
      <c r="A192">
        <f t="shared" si="2"/>
        <v>191</v>
      </c>
      <c r="B192" s="77">
        <v>2339573.7766818656</v>
      </c>
      <c r="C192" s="77">
        <v>333102.67177039332</v>
      </c>
    </row>
    <row r="193" spans="1:3" x14ac:dyDescent="0.3">
      <c r="A193">
        <f t="shared" si="2"/>
        <v>192</v>
      </c>
      <c r="B193" s="77">
        <v>2095890.0021775507</v>
      </c>
      <c r="C193" s="77">
        <v>298407.58450129069</v>
      </c>
    </row>
    <row r="194" spans="1:3" x14ac:dyDescent="0.3">
      <c r="A194">
        <f t="shared" si="2"/>
        <v>193</v>
      </c>
      <c r="B194" s="77">
        <v>2115875.6332387985</v>
      </c>
      <c r="C194" s="77">
        <v>301253.08874222159</v>
      </c>
    </row>
    <row r="195" spans="1:3" x14ac:dyDescent="0.3">
      <c r="A195">
        <f t="shared" si="2"/>
        <v>194</v>
      </c>
      <c r="B195" s="77">
        <v>2294073.4795195484</v>
      </c>
      <c r="C195" s="77">
        <v>326624.45308706962</v>
      </c>
    </row>
    <row r="196" spans="1:3" x14ac:dyDescent="0.3">
      <c r="A196">
        <f t="shared" si="2"/>
        <v>195</v>
      </c>
      <c r="B196" s="77">
        <v>2551890.0075399582</v>
      </c>
      <c r="C196" s="77">
        <v>363331.72650845518</v>
      </c>
    </row>
    <row r="197" spans="1:3" x14ac:dyDescent="0.3">
      <c r="A197">
        <f t="shared" ref="A197:A260" si="3">A196+1</f>
        <v>196</v>
      </c>
      <c r="B197" s="77">
        <v>2698089.2637310945</v>
      </c>
      <c r="C197" s="77">
        <v>384147.2115055474</v>
      </c>
    </row>
    <row r="198" spans="1:3" x14ac:dyDescent="0.3">
      <c r="A198">
        <f t="shared" si="3"/>
        <v>197</v>
      </c>
      <c r="B198" s="77">
        <v>2643734.7091350313</v>
      </c>
      <c r="C198" s="77">
        <v>376408.34576030169</v>
      </c>
    </row>
    <row r="199" spans="1:3" x14ac:dyDescent="0.3">
      <c r="A199">
        <f t="shared" si="3"/>
        <v>198</v>
      </c>
      <c r="B199" s="77">
        <v>2637497.2439622208</v>
      </c>
      <c r="C199" s="77">
        <v>375520.27104564809</v>
      </c>
    </row>
    <row r="200" spans="1:3" x14ac:dyDescent="0.3">
      <c r="A200">
        <f t="shared" si="3"/>
        <v>199</v>
      </c>
      <c r="B200" s="77">
        <v>2344544.6441702689</v>
      </c>
      <c r="C200" s="77">
        <v>333810.41146978084</v>
      </c>
    </row>
    <row r="201" spans="1:3" x14ac:dyDescent="0.3">
      <c r="A201">
        <f t="shared" si="3"/>
        <v>200</v>
      </c>
      <c r="B201" s="77">
        <v>2653960.3641612739</v>
      </c>
      <c r="C201" s="77">
        <v>377864.24898668966</v>
      </c>
    </row>
    <row r="202" spans="1:3" x14ac:dyDescent="0.3">
      <c r="A202">
        <f t="shared" si="3"/>
        <v>201</v>
      </c>
      <c r="B202" s="77">
        <v>2294571.4574029734</v>
      </c>
      <c r="C202" s="77">
        <v>326695.3539345251</v>
      </c>
    </row>
    <row r="203" spans="1:3" x14ac:dyDescent="0.3">
      <c r="A203">
        <f t="shared" si="3"/>
        <v>202</v>
      </c>
      <c r="B203" s="77">
        <v>2590294.9980854546</v>
      </c>
      <c r="C203" s="77">
        <v>368799.733154591</v>
      </c>
    </row>
    <row r="204" spans="1:3" x14ac:dyDescent="0.3">
      <c r="A204">
        <f t="shared" si="3"/>
        <v>203</v>
      </c>
      <c r="B204" s="77">
        <v>2363208.8267499679</v>
      </c>
      <c r="C204" s="77">
        <v>336467.77117592597</v>
      </c>
    </row>
    <row r="205" spans="1:3" x14ac:dyDescent="0.3">
      <c r="A205">
        <f t="shared" si="3"/>
        <v>204</v>
      </c>
      <c r="B205" s="77">
        <v>2233790.0834407983</v>
      </c>
      <c r="C205" s="77">
        <v>318041.45369745255</v>
      </c>
    </row>
    <row r="206" spans="1:3" x14ac:dyDescent="0.3">
      <c r="A206">
        <f t="shared" si="3"/>
        <v>205</v>
      </c>
      <c r="B206" s="77">
        <v>2419690.5614399528</v>
      </c>
      <c r="C206" s="77">
        <v>344509.49951079552</v>
      </c>
    </row>
    <row r="207" spans="1:3" x14ac:dyDescent="0.3">
      <c r="A207">
        <f t="shared" si="3"/>
        <v>206</v>
      </c>
      <c r="B207" s="77">
        <v>2032057.2770942694</v>
      </c>
      <c r="C207" s="77">
        <v>289319.24051165069</v>
      </c>
    </row>
    <row r="208" spans="1:3" x14ac:dyDescent="0.3">
      <c r="A208">
        <f t="shared" si="3"/>
        <v>207</v>
      </c>
      <c r="B208" s="77">
        <v>2032352.5433073454</v>
      </c>
      <c r="C208" s="77">
        <v>289361.27977770817</v>
      </c>
    </row>
    <row r="209" spans="1:3" x14ac:dyDescent="0.3">
      <c r="A209">
        <f t="shared" si="3"/>
        <v>208</v>
      </c>
      <c r="B209" s="77">
        <v>2736051.7208805545</v>
      </c>
      <c r="C209" s="77">
        <v>389552.21135188208</v>
      </c>
    </row>
    <row r="210" spans="1:3" x14ac:dyDescent="0.3">
      <c r="A210">
        <f t="shared" si="3"/>
        <v>209</v>
      </c>
      <c r="B210" s="77">
        <v>2105666.3477009968</v>
      </c>
      <c r="C210" s="77">
        <v>299799.51616271876</v>
      </c>
    </row>
    <row r="211" spans="1:3" x14ac:dyDescent="0.3">
      <c r="A211">
        <f t="shared" si="3"/>
        <v>210</v>
      </c>
      <c r="B211" s="77">
        <v>2086797.3015829022</v>
      </c>
      <c r="C211" s="77">
        <v>297112.98849757703</v>
      </c>
    </row>
    <row r="212" spans="1:3" x14ac:dyDescent="0.3">
      <c r="A212">
        <f t="shared" si="3"/>
        <v>211</v>
      </c>
      <c r="B212" s="77">
        <v>2403708.9590612948</v>
      </c>
      <c r="C212" s="77">
        <v>342234.07887454052</v>
      </c>
    </row>
    <row r="213" spans="1:3" x14ac:dyDescent="0.3">
      <c r="A213">
        <f t="shared" si="3"/>
        <v>212</v>
      </c>
      <c r="B213" s="77">
        <v>2554591.8536675866</v>
      </c>
      <c r="C213" s="77">
        <v>363716.40861286048</v>
      </c>
    </row>
    <row r="214" spans="1:3" x14ac:dyDescent="0.3">
      <c r="A214">
        <f t="shared" si="3"/>
        <v>213</v>
      </c>
      <c r="B214" s="77">
        <v>2548912.0625085277</v>
      </c>
      <c r="C214" s="77">
        <v>362907.73413162073</v>
      </c>
    </row>
    <row r="215" spans="1:3" x14ac:dyDescent="0.3">
      <c r="A215">
        <f t="shared" si="3"/>
        <v>214</v>
      </c>
      <c r="B215" s="77">
        <v>2548534.4635836184</v>
      </c>
      <c r="C215" s="77">
        <v>362853.97253965965</v>
      </c>
    </row>
    <row r="216" spans="1:3" x14ac:dyDescent="0.3">
      <c r="A216">
        <f t="shared" si="3"/>
        <v>215</v>
      </c>
      <c r="B216" s="77">
        <v>2356372.752917571</v>
      </c>
      <c r="C216" s="77">
        <v>335494.46805520938</v>
      </c>
    </row>
    <row r="217" spans="1:3" x14ac:dyDescent="0.3">
      <c r="A217">
        <f t="shared" si="3"/>
        <v>216</v>
      </c>
      <c r="B217" s="77">
        <v>2776318.4785045953</v>
      </c>
      <c r="C217" s="77">
        <v>395285.29174532107</v>
      </c>
    </row>
    <row r="218" spans="1:3" x14ac:dyDescent="0.3">
      <c r="A218">
        <f t="shared" si="3"/>
        <v>217</v>
      </c>
      <c r="B218" s="77">
        <v>2434430.2326663937</v>
      </c>
      <c r="C218" s="77">
        <v>346608.09709103865</v>
      </c>
    </row>
    <row r="219" spans="1:3" x14ac:dyDescent="0.3">
      <c r="A219">
        <f t="shared" si="3"/>
        <v>218</v>
      </c>
      <c r="B219" s="77">
        <v>2291623.9775696038</v>
      </c>
      <c r="C219" s="77">
        <v>326275.69911651069</v>
      </c>
    </row>
    <row r="220" spans="1:3" x14ac:dyDescent="0.3">
      <c r="A220">
        <f t="shared" si="3"/>
        <v>219</v>
      </c>
      <c r="B220" s="77">
        <v>2386429.3060890911</v>
      </c>
      <c r="C220" s="77">
        <v>339773.84503636265</v>
      </c>
    </row>
    <row r="221" spans="1:3" x14ac:dyDescent="0.3">
      <c r="A221">
        <f t="shared" si="3"/>
        <v>220</v>
      </c>
      <c r="B221" s="77">
        <v>2770490.6290733563</v>
      </c>
      <c r="C221" s="77">
        <v>394455.53709703014</v>
      </c>
    </row>
    <row r="222" spans="1:3" x14ac:dyDescent="0.3">
      <c r="A222">
        <f t="shared" si="3"/>
        <v>221</v>
      </c>
      <c r="B222" s="77">
        <v>2736241.6108802855</v>
      </c>
      <c r="C222" s="77">
        <v>389579.24741583673</v>
      </c>
    </row>
    <row r="223" spans="1:3" x14ac:dyDescent="0.3">
      <c r="A223">
        <f t="shared" si="3"/>
        <v>222</v>
      </c>
      <c r="B223" s="77">
        <v>2814154.9762109821</v>
      </c>
      <c r="C223" s="77">
        <v>400672.35780070612</v>
      </c>
    </row>
    <row r="224" spans="1:3" x14ac:dyDescent="0.3">
      <c r="A224">
        <f t="shared" si="3"/>
        <v>223</v>
      </c>
      <c r="B224" s="77">
        <v>2229656.8365697609</v>
      </c>
      <c r="C224" s="77">
        <v>317452.9723297985</v>
      </c>
    </row>
    <row r="225" spans="1:3" x14ac:dyDescent="0.3">
      <c r="A225">
        <f t="shared" si="3"/>
        <v>224</v>
      </c>
      <c r="B225" s="77">
        <v>2235489.699397515</v>
      </c>
      <c r="C225" s="77">
        <v>318283.44077296543</v>
      </c>
    </row>
    <row r="226" spans="1:3" x14ac:dyDescent="0.3">
      <c r="A226">
        <f t="shared" si="3"/>
        <v>225</v>
      </c>
      <c r="B226" s="77">
        <v>2639209.0917878728</v>
      </c>
      <c r="C226" s="77">
        <v>375763.99966411362</v>
      </c>
    </row>
    <row r="227" spans="1:3" x14ac:dyDescent="0.3">
      <c r="A227">
        <f t="shared" si="3"/>
        <v>226</v>
      </c>
      <c r="B227" s="77">
        <v>2410849.9134983486</v>
      </c>
      <c r="C227" s="77">
        <v>343250.79013437813</v>
      </c>
    </row>
    <row r="228" spans="1:3" x14ac:dyDescent="0.3">
      <c r="A228">
        <f t="shared" si="3"/>
        <v>227</v>
      </c>
      <c r="B228" s="77">
        <v>2694253.6670570606</v>
      </c>
      <c r="C228" s="77">
        <v>383601.10882962908</v>
      </c>
    </row>
    <row r="229" spans="1:3" x14ac:dyDescent="0.3">
      <c r="A229">
        <f t="shared" si="3"/>
        <v>228</v>
      </c>
      <c r="B229" s="77">
        <v>2395395.5532060298</v>
      </c>
      <c r="C229" s="77">
        <v>341050.43690970889</v>
      </c>
    </row>
    <row r="230" spans="1:3" x14ac:dyDescent="0.3">
      <c r="A230">
        <f t="shared" si="3"/>
        <v>229</v>
      </c>
      <c r="B230" s="77">
        <v>2478357.9553072425</v>
      </c>
      <c r="C230" s="77">
        <v>352862.41654114297</v>
      </c>
    </row>
    <row r="231" spans="1:3" x14ac:dyDescent="0.3">
      <c r="A231">
        <f t="shared" si="3"/>
        <v>230</v>
      </c>
      <c r="B231" s="77">
        <v>2276988.2043920048</v>
      </c>
      <c r="C231" s="77">
        <v>324191.89428099996</v>
      </c>
    </row>
    <row r="232" spans="1:3" x14ac:dyDescent="0.3">
      <c r="A232">
        <f t="shared" si="3"/>
        <v>231</v>
      </c>
      <c r="B232" s="77">
        <v>2302548.2397309043</v>
      </c>
      <c r="C232" s="77">
        <v>327831.06828217569</v>
      </c>
    </row>
    <row r="233" spans="1:3" x14ac:dyDescent="0.3">
      <c r="A233">
        <f t="shared" si="3"/>
        <v>232</v>
      </c>
      <c r="B233" s="77">
        <v>2358896.8352932134</v>
      </c>
      <c r="C233" s="77">
        <v>335853.84060053155</v>
      </c>
    </row>
    <row r="234" spans="1:3" x14ac:dyDescent="0.3">
      <c r="A234">
        <f t="shared" si="3"/>
        <v>233</v>
      </c>
      <c r="B234" s="77">
        <v>2333559.7744229911</v>
      </c>
      <c r="C234" s="77">
        <v>332246.41314737801</v>
      </c>
    </row>
    <row r="235" spans="1:3" x14ac:dyDescent="0.3">
      <c r="A235">
        <f t="shared" si="3"/>
        <v>234</v>
      </c>
      <c r="B235" s="77">
        <v>2566708.3925570739</v>
      </c>
      <c r="C235" s="77">
        <v>365441.53116164467</v>
      </c>
    </row>
    <row r="236" spans="1:3" x14ac:dyDescent="0.3">
      <c r="A236">
        <f t="shared" si="3"/>
        <v>235</v>
      </c>
      <c r="B236" s="77">
        <v>2767338.1280192202</v>
      </c>
      <c r="C236" s="77">
        <v>394006.69186959689</v>
      </c>
    </row>
    <row r="237" spans="1:3" x14ac:dyDescent="0.3">
      <c r="A237">
        <f t="shared" si="3"/>
        <v>236</v>
      </c>
      <c r="B237" s="77">
        <v>2062496.9262408845</v>
      </c>
      <c r="C237" s="77">
        <v>293653.16174104292</v>
      </c>
    </row>
    <row r="238" spans="1:3" x14ac:dyDescent="0.3">
      <c r="A238">
        <f t="shared" si="3"/>
        <v>237</v>
      </c>
      <c r="B238" s="77">
        <v>2978586.698380921</v>
      </c>
      <c r="C238" s="77">
        <v>424083.73577242187</v>
      </c>
    </row>
    <row r="239" spans="1:3" x14ac:dyDescent="0.3">
      <c r="A239">
        <f t="shared" si="3"/>
        <v>238</v>
      </c>
      <c r="B239" s="77">
        <v>2334713.0958234877</v>
      </c>
      <c r="C239" s="77">
        <v>332410.62016822275</v>
      </c>
    </row>
    <row r="240" spans="1:3" x14ac:dyDescent="0.3">
      <c r="A240">
        <f t="shared" si="3"/>
        <v>239</v>
      </c>
      <c r="B240" s="77">
        <v>2422296.241837095</v>
      </c>
      <c r="C240" s="77">
        <v>344880.48977864633</v>
      </c>
    </row>
    <row r="241" spans="1:3" x14ac:dyDescent="0.3">
      <c r="A241">
        <f t="shared" si="3"/>
        <v>240</v>
      </c>
      <c r="B241" s="77">
        <v>1998561.0134103121</v>
      </c>
      <c r="C241" s="77">
        <v>284550.12613763154</v>
      </c>
    </row>
    <row r="242" spans="1:3" x14ac:dyDescent="0.3">
      <c r="A242">
        <f t="shared" si="3"/>
        <v>241</v>
      </c>
      <c r="B242" s="77">
        <v>2444238.5350983501</v>
      </c>
      <c r="C242" s="77">
        <v>348004.57869729528</v>
      </c>
    </row>
    <row r="243" spans="1:3" x14ac:dyDescent="0.3">
      <c r="A243">
        <f t="shared" si="3"/>
        <v>242</v>
      </c>
      <c r="B243" s="77">
        <v>2112910.7476957468</v>
      </c>
      <c r="C243" s="77">
        <v>300830.95574272942</v>
      </c>
    </row>
    <row r="244" spans="1:3" x14ac:dyDescent="0.3">
      <c r="A244">
        <f t="shared" si="3"/>
        <v>243</v>
      </c>
      <c r="B244" s="77">
        <v>2374083.1374652134</v>
      </c>
      <c r="C244" s="77">
        <v>338016.02837944403</v>
      </c>
    </row>
    <row r="245" spans="1:3" x14ac:dyDescent="0.3">
      <c r="A245">
        <f t="shared" si="3"/>
        <v>244</v>
      </c>
      <c r="B245" s="77">
        <v>2295647.279944703</v>
      </c>
      <c r="C245" s="77">
        <v>326848.52686139435</v>
      </c>
    </row>
    <row r="246" spans="1:3" x14ac:dyDescent="0.3">
      <c r="A246">
        <f t="shared" si="3"/>
        <v>245</v>
      </c>
      <c r="B246" s="77">
        <v>2917009.9283429831</v>
      </c>
      <c r="C246" s="77">
        <v>415316.58902840305</v>
      </c>
    </row>
    <row r="247" spans="1:3" x14ac:dyDescent="0.3">
      <c r="A247">
        <f t="shared" si="3"/>
        <v>246</v>
      </c>
      <c r="B247" s="77">
        <v>2363746.9427358261</v>
      </c>
      <c r="C247" s="77">
        <v>336544.38678617013</v>
      </c>
    </row>
    <row r="248" spans="1:3" x14ac:dyDescent="0.3">
      <c r="A248">
        <f t="shared" si="3"/>
        <v>247</v>
      </c>
      <c r="B248" s="77">
        <v>2019512.8829769096</v>
      </c>
      <c r="C248" s="77">
        <v>287533.20100399316</v>
      </c>
    </row>
    <row r="249" spans="1:3" x14ac:dyDescent="0.3">
      <c r="A249">
        <f t="shared" si="3"/>
        <v>248</v>
      </c>
      <c r="B249" s="77">
        <v>2712505.9840574134</v>
      </c>
      <c r="C249" s="77">
        <v>386199.8281431275</v>
      </c>
    </row>
    <row r="250" spans="1:3" x14ac:dyDescent="0.3">
      <c r="A250">
        <f t="shared" si="3"/>
        <v>249</v>
      </c>
      <c r="B250" s="77">
        <v>1953273.783360116</v>
      </c>
      <c r="C250" s="77">
        <v>278102.24341764493</v>
      </c>
    </row>
    <row r="251" spans="1:3" x14ac:dyDescent="0.3">
      <c r="A251">
        <f t="shared" si="3"/>
        <v>250</v>
      </c>
      <c r="B251" s="77">
        <v>2361785.4462316772</v>
      </c>
      <c r="C251" s="77">
        <v>336265.11381230096</v>
      </c>
    </row>
    <row r="252" spans="1:3" x14ac:dyDescent="0.3">
      <c r="A252">
        <f t="shared" si="3"/>
        <v>251</v>
      </c>
      <c r="B252" s="77">
        <v>2640570.9401934864</v>
      </c>
      <c r="C252" s="77">
        <v>375957.89623919816</v>
      </c>
    </row>
    <row r="253" spans="1:3" x14ac:dyDescent="0.3">
      <c r="A253">
        <f t="shared" si="3"/>
        <v>252</v>
      </c>
      <c r="B253" s="77">
        <v>1911584.0073379141</v>
      </c>
      <c r="C253" s="77">
        <v>272166.55721834069</v>
      </c>
    </row>
    <row r="254" spans="1:3" x14ac:dyDescent="0.3">
      <c r="A254">
        <f t="shared" si="3"/>
        <v>253</v>
      </c>
      <c r="B254" s="77">
        <v>2223267.38459244</v>
      </c>
      <c r="C254" s="77">
        <v>316543.25811347121</v>
      </c>
    </row>
    <row r="255" spans="1:3" x14ac:dyDescent="0.3">
      <c r="A255">
        <f t="shared" si="3"/>
        <v>254</v>
      </c>
      <c r="B255" s="77">
        <v>2442842.8227018951</v>
      </c>
      <c r="C255" s="77">
        <v>347805.86065176246</v>
      </c>
    </row>
    <row r="256" spans="1:3" x14ac:dyDescent="0.3">
      <c r="A256">
        <f t="shared" si="3"/>
        <v>255</v>
      </c>
      <c r="B256" s="77">
        <v>2294936.8883565795</v>
      </c>
      <c r="C256" s="77">
        <v>326747.38308111881</v>
      </c>
    </row>
    <row r="257" spans="1:3" x14ac:dyDescent="0.3">
      <c r="A257">
        <f t="shared" si="3"/>
        <v>256</v>
      </c>
      <c r="B257" s="77">
        <v>3007453.6314860084</v>
      </c>
      <c r="C257" s="77">
        <v>428193.73761932214</v>
      </c>
    </row>
    <row r="258" spans="1:3" x14ac:dyDescent="0.3">
      <c r="A258">
        <f t="shared" si="3"/>
        <v>257</v>
      </c>
      <c r="B258" s="77">
        <v>2424096.8372116867</v>
      </c>
      <c r="C258" s="77">
        <v>345136.85405150312</v>
      </c>
    </row>
    <row r="259" spans="1:3" x14ac:dyDescent="0.3">
      <c r="A259">
        <f t="shared" si="3"/>
        <v>258</v>
      </c>
      <c r="B259" s="77">
        <v>2328473.2597909491</v>
      </c>
      <c r="C259" s="77">
        <v>331522.20789648168</v>
      </c>
    </row>
    <row r="260" spans="1:3" x14ac:dyDescent="0.3">
      <c r="A260">
        <f t="shared" si="3"/>
        <v>259</v>
      </c>
      <c r="B260" s="77">
        <v>2645134.0993202715</v>
      </c>
      <c r="C260" s="77">
        <v>376607.58744021738</v>
      </c>
    </row>
    <row r="261" spans="1:3" x14ac:dyDescent="0.3">
      <c r="A261">
        <f t="shared" ref="A261:A324" si="4">A260+1</f>
        <v>260</v>
      </c>
      <c r="B261" s="77">
        <v>2238042.4504266651</v>
      </c>
      <c r="C261" s="77">
        <v>318646.89508958056</v>
      </c>
    </row>
    <row r="262" spans="1:3" x14ac:dyDescent="0.3">
      <c r="A262">
        <f t="shared" si="4"/>
        <v>261</v>
      </c>
      <c r="B262" s="77">
        <v>2395609.1820468791</v>
      </c>
      <c r="C262" s="77">
        <v>341080.85285057954</v>
      </c>
    </row>
    <row r="263" spans="1:3" x14ac:dyDescent="0.3">
      <c r="A263">
        <f t="shared" si="4"/>
        <v>262</v>
      </c>
      <c r="B263" s="77">
        <v>2099400.7501956783</v>
      </c>
      <c r="C263" s="77">
        <v>298907.43603681674</v>
      </c>
    </row>
    <row r="264" spans="1:3" x14ac:dyDescent="0.3">
      <c r="A264">
        <f t="shared" si="4"/>
        <v>263</v>
      </c>
      <c r="B264" s="77">
        <v>2198025.8074236484</v>
      </c>
      <c r="C264" s="77">
        <v>312949.42539127858</v>
      </c>
    </row>
    <row r="265" spans="1:3" x14ac:dyDescent="0.3">
      <c r="A265">
        <f t="shared" si="4"/>
        <v>264</v>
      </c>
      <c r="B265" s="77">
        <v>2685920.4584262352</v>
      </c>
      <c r="C265" s="77">
        <v>382414.64739506604</v>
      </c>
    </row>
    <row r="266" spans="1:3" x14ac:dyDescent="0.3">
      <c r="A266">
        <f t="shared" si="4"/>
        <v>265</v>
      </c>
      <c r="B266" s="77">
        <v>2331090.2996866247</v>
      </c>
      <c r="C266" s="77">
        <v>331894.81550136587</v>
      </c>
    </row>
    <row r="267" spans="1:3" x14ac:dyDescent="0.3">
      <c r="A267">
        <f t="shared" si="4"/>
        <v>266</v>
      </c>
      <c r="B267" s="77">
        <v>2156352.0004538298</v>
      </c>
      <c r="C267" s="77">
        <v>307016.01282577351</v>
      </c>
    </row>
    <row r="268" spans="1:3" x14ac:dyDescent="0.3">
      <c r="A268">
        <f t="shared" si="4"/>
        <v>267</v>
      </c>
      <c r="B268" s="77">
        <v>2426356.5799815129</v>
      </c>
      <c r="C268" s="77">
        <v>345458.59058387717</v>
      </c>
    </row>
    <row r="269" spans="1:3" x14ac:dyDescent="0.3">
      <c r="A269">
        <f t="shared" si="4"/>
        <v>268</v>
      </c>
      <c r="B269" s="77">
        <v>2052200.7448282989</v>
      </c>
      <c r="C269" s="77">
        <v>292187.21714389103</v>
      </c>
    </row>
    <row r="270" spans="1:3" x14ac:dyDescent="0.3">
      <c r="A270">
        <f t="shared" si="4"/>
        <v>269</v>
      </c>
      <c r="B270" s="77">
        <v>2413932.8141512033</v>
      </c>
      <c r="C270" s="77">
        <v>343689.72583048814</v>
      </c>
    </row>
    <row r="271" spans="1:3" x14ac:dyDescent="0.3">
      <c r="A271">
        <f t="shared" si="4"/>
        <v>270</v>
      </c>
      <c r="B271" s="77">
        <v>2690034.8509131321</v>
      </c>
      <c r="C271" s="77">
        <v>383000.4443225906</v>
      </c>
    </row>
    <row r="272" spans="1:3" x14ac:dyDescent="0.3">
      <c r="A272">
        <f t="shared" si="4"/>
        <v>271</v>
      </c>
      <c r="B272" s="77">
        <v>2273318.6099312473</v>
      </c>
      <c r="C272" s="77">
        <v>323669.42658565514</v>
      </c>
    </row>
    <row r="273" spans="1:3" x14ac:dyDescent="0.3">
      <c r="A273">
        <f t="shared" si="4"/>
        <v>272</v>
      </c>
      <c r="B273" s="77">
        <v>2087601.0463580526</v>
      </c>
      <c r="C273" s="77">
        <v>297227.42367149307</v>
      </c>
    </row>
    <row r="274" spans="1:3" x14ac:dyDescent="0.3">
      <c r="A274">
        <f t="shared" si="4"/>
        <v>273</v>
      </c>
      <c r="B274" s="77">
        <v>2619094.6252317741</v>
      </c>
      <c r="C274" s="77">
        <v>372900.15214716323</v>
      </c>
    </row>
    <row r="275" spans="1:3" x14ac:dyDescent="0.3">
      <c r="A275">
        <f t="shared" si="4"/>
        <v>274</v>
      </c>
      <c r="B275" s="77">
        <v>2563647.8549710177</v>
      </c>
      <c r="C275" s="77">
        <v>365005.77946313878</v>
      </c>
    </row>
    <row r="276" spans="1:3" x14ac:dyDescent="0.3">
      <c r="A276">
        <f t="shared" si="4"/>
        <v>275</v>
      </c>
      <c r="B276" s="77">
        <v>2571239.8330873712</v>
      </c>
      <c r="C276" s="77">
        <v>366086.70634810603</v>
      </c>
    </row>
    <row r="277" spans="1:3" x14ac:dyDescent="0.3">
      <c r="A277">
        <f t="shared" si="4"/>
        <v>276</v>
      </c>
      <c r="B277" s="77">
        <v>2054663.5005254105</v>
      </c>
      <c r="C277" s="77">
        <v>292537.85814987338</v>
      </c>
    </row>
    <row r="278" spans="1:3" x14ac:dyDescent="0.3">
      <c r="A278">
        <f t="shared" si="4"/>
        <v>277</v>
      </c>
      <c r="B278" s="77">
        <v>2290333.4995039804</v>
      </c>
      <c r="C278" s="77">
        <v>326091.96407220274</v>
      </c>
    </row>
    <row r="279" spans="1:3" x14ac:dyDescent="0.3">
      <c r="A279">
        <f t="shared" si="4"/>
        <v>278</v>
      </c>
      <c r="B279" s="77">
        <v>2453380.5055175233</v>
      </c>
      <c r="C279" s="77">
        <v>349306.18961558456</v>
      </c>
    </row>
    <row r="280" spans="1:3" x14ac:dyDescent="0.3">
      <c r="A280">
        <f t="shared" si="4"/>
        <v>279</v>
      </c>
      <c r="B280" s="77">
        <v>2274172.158907739</v>
      </c>
      <c r="C280" s="77">
        <v>323790.95275738352</v>
      </c>
    </row>
    <row r="281" spans="1:3" x14ac:dyDescent="0.3">
      <c r="A281">
        <f t="shared" si="4"/>
        <v>280</v>
      </c>
      <c r="B281" s="77">
        <v>2065133.6176055421</v>
      </c>
      <c r="C281" s="77">
        <v>294028.56727300567</v>
      </c>
    </row>
    <row r="282" spans="1:3" x14ac:dyDescent="0.3">
      <c r="A282">
        <f t="shared" si="4"/>
        <v>281</v>
      </c>
      <c r="B282" s="77">
        <v>2173177.9585858556</v>
      </c>
      <c r="C282" s="77">
        <v>309411.6507256066</v>
      </c>
    </row>
    <row r="283" spans="1:3" x14ac:dyDescent="0.3">
      <c r="A283">
        <f t="shared" si="4"/>
        <v>282</v>
      </c>
      <c r="B283" s="77">
        <v>2523150.7056505014</v>
      </c>
      <c r="C283" s="77">
        <v>359239.89647530648</v>
      </c>
    </row>
    <row r="284" spans="1:3" x14ac:dyDescent="0.3">
      <c r="A284">
        <f t="shared" si="4"/>
        <v>283</v>
      </c>
      <c r="B284" s="77">
        <v>2129497.2221657322</v>
      </c>
      <c r="C284" s="77">
        <v>303192.49655681715</v>
      </c>
    </row>
    <row r="285" spans="1:3" x14ac:dyDescent="0.3">
      <c r="A285">
        <f t="shared" si="4"/>
        <v>284</v>
      </c>
      <c r="B285" s="77">
        <v>2437350.8613408203</v>
      </c>
      <c r="C285" s="77">
        <v>347023.92890809744</v>
      </c>
    </row>
    <row r="286" spans="1:3" x14ac:dyDescent="0.3">
      <c r="A286">
        <f t="shared" si="4"/>
        <v>285</v>
      </c>
      <c r="B286" s="77">
        <v>2841340.2631619042</v>
      </c>
      <c r="C286" s="77">
        <v>404542.93106770521</v>
      </c>
    </row>
    <row r="287" spans="1:3" x14ac:dyDescent="0.3">
      <c r="A287">
        <f t="shared" si="4"/>
        <v>286</v>
      </c>
      <c r="B287" s="77">
        <v>2229854.5843568165</v>
      </c>
      <c r="C287" s="77">
        <v>317481.12716588943</v>
      </c>
    </row>
    <row r="288" spans="1:3" x14ac:dyDescent="0.3">
      <c r="A288">
        <f t="shared" si="4"/>
        <v>287</v>
      </c>
      <c r="B288" s="77">
        <v>2574280.8066230658</v>
      </c>
      <c r="C288" s="77">
        <v>366519.6725659782</v>
      </c>
    </row>
    <row r="289" spans="1:3" x14ac:dyDescent="0.3">
      <c r="A289">
        <f t="shared" si="4"/>
        <v>288</v>
      </c>
      <c r="B289" s="77">
        <v>2691860.034133737</v>
      </c>
      <c r="C289" s="77">
        <v>383260.30935156025</v>
      </c>
    </row>
    <row r="290" spans="1:3" x14ac:dyDescent="0.3">
      <c r="A290">
        <f t="shared" si="4"/>
        <v>289</v>
      </c>
      <c r="B290" s="77">
        <v>2203343.2615435584</v>
      </c>
      <c r="C290" s="77">
        <v>313706.51122973871</v>
      </c>
    </row>
    <row r="291" spans="1:3" x14ac:dyDescent="0.3">
      <c r="A291">
        <f t="shared" si="4"/>
        <v>290</v>
      </c>
      <c r="B291" s="77">
        <v>2372528.0919883824</v>
      </c>
      <c r="C291" s="77">
        <v>337794.6248878254</v>
      </c>
    </row>
    <row r="292" spans="1:3" x14ac:dyDescent="0.3">
      <c r="A292">
        <f t="shared" si="4"/>
        <v>291</v>
      </c>
      <c r="B292" s="77">
        <v>2739288.7374640186</v>
      </c>
      <c r="C292" s="77">
        <v>390013.08968932281</v>
      </c>
    </row>
    <row r="293" spans="1:3" x14ac:dyDescent="0.3">
      <c r="A293">
        <f t="shared" si="4"/>
        <v>292</v>
      </c>
      <c r="B293" s="77">
        <v>2153333.71858171</v>
      </c>
      <c r="C293" s="77">
        <v>306586.27739029384</v>
      </c>
    </row>
    <row r="294" spans="1:3" x14ac:dyDescent="0.3">
      <c r="A294">
        <f t="shared" si="4"/>
        <v>293</v>
      </c>
      <c r="B294" s="77">
        <v>2281125.3209275561</v>
      </c>
      <c r="C294" s="77">
        <v>324780.92660182383</v>
      </c>
    </row>
    <row r="295" spans="1:3" x14ac:dyDescent="0.3">
      <c r="A295">
        <f t="shared" si="4"/>
        <v>294</v>
      </c>
      <c r="B295" s="77">
        <v>2168961.8500300213</v>
      </c>
      <c r="C295" s="77">
        <v>308811.3717181994</v>
      </c>
    </row>
    <row r="296" spans="1:3" x14ac:dyDescent="0.3">
      <c r="A296">
        <f t="shared" si="4"/>
        <v>295</v>
      </c>
      <c r="B296" s="77">
        <v>2395881.355875236</v>
      </c>
      <c r="C296" s="77">
        <v>341119.60428056872</v>
      </c>
    </row>
    <row r="297" spans="1:3" x14ac:dyDescent="0.3">
      <c r="A297">
        <f t="shared" si="4"/>
        <v>296</v>
      </c>
      <c r="B297" s="77">
        <v>2337319.0412220005</v>
      </c>
      <c r="C297" s="77">
        <v>332781.6481663069</v>
      </c>
    </row>
    <row r="298" spans="1:3" x14ac:dyDescent="0.3">
      <c r="A298">
        <f t="shared" si="4"/>
        <v>297</v>
      </c>
      <c r="B298" s="77">
        <v>2363624.0218043672</v>
      </c>
      <c r="C298" s="77">
        <v>336526.88561091607</v>
      </c>
    </row>
    <row r="299" spans="1:3" x14ac:dyDescent="0.3">
      <c r="A299">
        <f t="shared" si="4"/>
        <v>298</v>
      </c>
      <c r="B299" s="77">
        <v>2188551.9992248169</v>
      </c>
      <c r="C299" s="77">
        <v>311600.56823861087</v>
      </c>
    </row>
    <row r="300" spans="1:3" x14ac:dyDescent="0.3">
      <c r="A300">
        <f t="shared" si="4"/>
        <v>299</v>
      </c>
      <c r="B300" s="77">
        <v>2354287.5559600284</v>
      </c>
      <c r="C300" s="77">
        <v>335197.58291969984</v>
      </c>
    </row>
    <row r="301" spans="1:3" x14ac:dyDescent="0.3">
      <c r="A301">
        <f t="shared" si="4"/>
        <v>300</v>
      </c>
      <c r="B301" s="77">
        <v>2042500.3357833703</v>
      </c>
      <c r="C301" s="77">
        <v>290806.09712864016</v>
      </c>
    </row>
    <row r="302" spans="1:3" x14ac:dyDescent="0.3">
      <c r="A302">
        <f t="shared" si="4"/>
        <v>301</v>
      </c>
      <c r="B302" s="77">
        <v>2811422.3919580095</v>
      </c>
      <c r="C302" s="77">
        <v>400283.29927877575</v>
      </c>
    </row>
    <row r="303" spans="1:3" x14ac:dyDescent="0.3">
      <c r="A303">
        <f t="shared" si="4"/>
        <v>302</v>
      </c>
      <c r="B303" s="77">
        <v>2372881.482834999</v>
      </c>
      <c r="C303" s="77">
        <v>337844.93979405332</v>
      </c>
    </row>
    <row r="304" spans="1:3" x14ac:dyDescent="0.3">
      <c r="A304">
        <f t="shared" si="4"/>
        <v>303</v>
      </c>
      <c r="B304" s="77">
        <v>2122353.8983571068</v>
      </c>
      <c r="C304" s="77">
        <v>302175.44795177219</v>
      </c>
    </row>
    <row r="305" spans="1:3" x14ac:dyDescent="0.3">
      <c r="A305">
        <f t="shared" si="4"/>
        <v>304</v>
      </c>
      <c r="B305" s="77">
        <v>3048100.8947655642</v>
      </c>
      <c r="C305" s="77">
        <v>433980.99345776701</v>
      </c>
    </row>
    <row r="306" spans="1:3" x14ac:dyDescent="0.3">
      <c r="A306">
        <f t="shared" si="4"/>
        <v>305</v>
      </c>
      <c r="B306" s="77">
        <v>2226586.0374233169</v>
      </c>
      <c r="C306" s="77">
        <v>317015.75961595052</v>
      </c>
    </row>
    <row r="307" spans="1:3" x14ac:dyDescent="0.3">
      <c r="A307">
        <f t="shared" si="4"/>
        <v>306</v>
      </c>
      <c r="B307" s="77">
        <v>2403411.2245216523</v>
      </c>
      <c r="C307" s="77">
        <v>342191.68817431055</v>
      </c>
    </row>
    <row r="308" spans="1:3" x14ac:dyDescent="0.3">
      <c r="A308">
        <f t="shared" si="4"/>
        <v>307</v>
      </c>
      <c r="B308" s="77">
        <v>2331541.7444699928</v>
      </c>
      <c r="C308" s="77">
        <v>331959.0910822411</v>
      </c>
    </row>
    <row r="309" spans="1:3" x14ac:dyDescent="0.3">
      <c r="A309">
        <f t="shared" si="4"/>
        <v>308</v>
      </c>
      <c r="B309" s="77">
        <v>2391356.411165128</v>
      </c>
      <c r="C309" s="77">
        <v>340475.35395276413</v>
      </c>
    </row>
    <row r="310" spans="1:3" x14ac:dyDescent="0.3">
      <c r="A310">
        <f t="shared" si="4"/>
        <v>309</v>
      </c>
      <c r="B310" s="77">
        <v>2420802.6569623821</v>
      </c>
      <c r="C310" s="77">
        <v>344667.83689407335</v>
      </c>
    </row>
    <row r="311" spans="1:3" x14ac:dyDescent="0.3">
      <c r="A311">
        <f t="shared" si="4"/>
        <v>310</v>
      </c>
      <c r="B311" s="77">
        <v>2323763.6012517242</v>
      </c>
      <c r="C311" s="77">
        <v>330851.65847496822</v>
      </c>
    </row>
    <row r="312" spans="1:3" x14ac:dyDescent="0.3">
      <c r="A312">
        <f t="shared" si="4"/>
        <v>311</v>
      </c>
      <c r="B312" s="77">
        <v>1926517.572970571</v>
      </c>
      <c r="C312" s="77">
        <v>274292.76099993353</v>
      </c>
    </row>
    <row r="313" spans="1:3" x14ac:dyDescent="0.3">
      <c r="A313">
        <f t="shared" si="4"/>
        <v>312</v>
      </c>
      <c r="B313" s="77">
        <v>2788997.4028204554</v>
      </c>
      <c r="C313" s="77">
        <v>397090.48532668257</v>
      </c>
    </row>
    <row r="314" spans="1:3" x14ac:dyDescent="0.3">
      <c r="A314">
        <f t="shared" si="4"/>
        <v>313</v>
      </c>
      <c r="B314" s="77">
        <v>2660893.6049665175</v>
      </c>
      <c r="C314" s="77">
        <v>378851.38649834768</v>
      </c>
    </row>
    <row r="315" spans="1:3" x14ac:dyDescent="0.3">
      <c r="A315">
        <f t="shared" si="4"/>
        <v>314</v>
      </c>
      <c r="B315" s="77">
        <v>1679806.1243042457</v>
      </c>
      <c r="C315" s="77">
        <v>239166.60104457173</v>
      </c>
    </row>
    <row r="316" spans="1:3" x14ac:dyDescent="0.3">
      <c r="A316">
        <f t="shared" si="4"/>
        <v>315</v>
      </c>
      <c r="B316" s="77">
        <v>2796949.2369453027</v>
      </c>
      <c r="C316" s="77">
        <v>398222.64761148056</v>
      </c>
    </row>
    <row r="317" spans="1:3" x14ac:dyDescent="0.3">
      <c r="A317">
        <f t="shared" si="4"/>
        <v>316</v>
      </c>
      <c r="B317" s="77">
        <v>2337510.189863462</v>
      </c>
      <c r="C317" s="77">
        <v>332808.86343252787</v>
      </c>
    </row>
    <row r="318" spans="1:3" x14ac:dyDescent="0.3">
      <c r="A318">
        <f t="shared" si="4"/>
        <v>317</v>
      </c>
      <c r="B318" s="77">
        <v>2537146.3229175406</v>
      </c>
      <c r="C318" s="77">
        <v>361232.5575109155</v>
      </c>
    </row>
    <row r="319" spans="1:3" x14ac:dyDescent="0.3">
      <c r="A319">
        <f t="shared" si="4"/>
        <v>318</v>
      </c>
      <c r="B319" s="77">
        <v>2347282.2370789954</v>
      </c>
      <c r="C319" s="77">
        <v>334200.18311160948</v>
      </c>
    </row>
    <row r="320" spans="1:3" x14ac:dyDescent="0.3">
      <c r="A320">
        <f t="shared" si="4"/>
        <v>319</v>
      </c>
      <c r="B320" s="77">
        <v>2063545.9108589268</v>
      </c>
      <c r="C320" s="77">
        <v>293802.51355135918</v>
      </c>
    </row>
    <row r="321" spans="1:3" x14ac:dyDescent="0.3">
      <c r="A321">
        <f t="shared" si="4"/>
        <v>320</v>
      </c>
      <c r="B321" s="77">
        <v>2176973.6666130451</v>
      </c>
      <c r="C321" s="77">
        <v>309952.07415560004</v>
      </c>
    </row>
    <row r="322" spans="1:3" x14ac:dyDescent="0.3">
      <c r="A322">
        <f t="shared" si="4"/>
        <v>321</v>
      </c>
      <c r="B322" s="77">
        <v>2360797.3031863258</v>
      </c>
      <c r="C322" s="77">
        <v>336124.42447316641</v>
      </c>
    </row>
    <row r="323" spans="1:3" x14ac:dyDescent="0.3">
      <c r="A323">
        <f t="shared" si="4"/>
        <v>322</v>
      </c>
      <c r="B323" s="77">
        <v>2757878.0653731436</v>
      </c>
      <c r="C323" s="77">
        <v>392659.79177440406</v>
      </c>
    </row>
    <row r="324" spans="1:3" x14ac:dyDescent="0.3">
      <c r="A324">
        <f t="shared" si="4"/>
        <v>323</v>
      </c>
      <c r="B324" s="77">
        <v>2698665.16302667</v>
      </c>
      <c r="C324" s="77">
        <v>384229.20660907391</v>
      </c>
    </row>
    <row r="325" spans="1:3" x14ac:dyDescent="0.3">
      <c r="A325">
        <f t="shared" ref="A325:A388" si="5">A324+1</f>
        <v>324</v>
      </c>
      <c r="B325" s="77">
        <v>2271070.6746400935</v>
      </c>
      <c r="C325" s="77">
        <v>323349.37117260799</v>
      </c>
    </row>
    <row r="326" spans="1:3" x14ac:dyDescent="0.3">
      <c r="A326">
        <f t="shared" si="5"/>
        <v>325</v>
      </c>
      <c r="B326" s="77">
        <v>2724429.8820912582</v>
      </c>
      <c r="C326" s="77">
        <v>387897.52296796208</v>
      </c>
    </row>
    <row r="327" spans="1:3" x14ac:dyDescent="0.3">
      <c r="A327">
        <f t="shared" si="5"/>
        <v>326</v>
      </c>
      <c r="B327" s="77">
        <v>2323412.9797493219</v>
      </c>
      <c r="C327" s="77">
        <v>330801.73786105367</v>
      </c>
    </row>
    <row r="328" spans="1:3" x14ac:dyDescent="0.3">
      <c r="A328">
        <f t="shared" si="5"/>
        <v>327</v>
      </c>
      <c r="B328" s="77">
        <v>2658442.4683974395</v>
      </c>
      <c r="C328" s="77">
        <v>378502.39979479864</v>
      </c>
    </row>
    <row r="329" spans="1:3" x14ac:dyDescent="0.3">
      <c r="A329">
        <f t="shared" si="5"/>
        <v>328</v>
      </c>
      <c r="B329" s="77">
        <v>2114634.4132461627</v>
      </c>
      <c r="C329" s="77">
        <v>301076.36693933484</v>
      </c>
    </row>
    <row r="330" spans="1:3" x14ac:dyDescent="0.3">
      <c r="A330">
        <f t="shared" si="5"/>
        <v>329</v>
      </c>
      <c r="B330" s="77">
        <v>2178909.1107289335</v>
      </c>
      <c r="C330" s="77">
        <v>310227.63785548857</v>
      </c>
    </row>
    <row r="331" spans="1:3" x14ac:dyDescent="0.3">
      <c r="A331">
        <f t="shared" si="5"/>
        <v>330</v>
      </c>
      <c r="B331" s="77">
        <v>2430153.8942909366</v>
      </c>
      <c r="C331" s="77">
        <v>345999.24271232384</v>
      </c>
    </row>
    <row r="332" spans="1:3" x14ac:dyDescent="0.3">
      <c r="A332">
        <f t="shared" si="5"/>
        <v>331</v>
      </c>
      <c r="B332" s="77">
        <v>2315655.7960115951</v>
      </c>
      <c r="C332" s="77">
        <v>329697.2894122788</v>
      </c>
    </row>
    <row r="333" spans="1:3" x14ac:dyDescent="0.3">
      <c r="A333">
        <f t="shared" si="5"/>
        <v>332</v>
      </c>
      <c r="B333" s="77">
        <v>2373459.9021811881</v>
      </c>
      <c r="C333" s="77">
        <v>337927.29369609291</v>
      </c>
    </row>
    <row r="334" spans="1:3" x14ac:dyDescent="0.3">
      <c r="A334">
        <f t="shared" si="5"/>
        <v>333</v>
      </c>
      <c r="B334" s="77">
        <v>2166500.6757603805</v>
      </c>
      <c r="C334" s="77">
        <v>308460.95587191114</v>
      </c>
    </row>
    <row r="335" spans="1:3" x14ac:dyDescent="0.3">
      <c r="A335">
        <f t="shared" si="5"/>
        <v>334</v>
      </c>
      <c r="B335" s="77">
        <v>2449335.6853704355</v>
      </c>
      <c r="C335" s="77">
        <v>348730.29822406097</v>
      </c>
    </row>
    <row r="336" spans="1:3" x14ac:dyDescent="0.3">
      <c r="A336">
        <f t="shared" si="5"/>
        <v>335</v>
      </c>
      <c r="B336" s="77">
        <v>2052790.9882300044</v>
      </c>
      <c r="C336" s="77">
        <v>292271.25452542718</v>
      </c>
    </row>
    <row r="337" spans="1:3" x14ac:dyDescent="0.3">
      <c r="A337">
        <f t="shared" si="5"/>
        <v>336</v>
      </c>
      <c r="B337" s="77">
        <v>2543956.7650846806</v>
      </c>
      <c r="C337" s="77">
        <v>362202.21125914209</v>
      </c>
    </row>
    <row r="338" spans="1:3" x14ac:dyDescent="0.3">
      <c r="A338">
        <f t="shared" si="5"/>
        <v>337</v>
      </c>
      <c r="B338" s="77">
        <v>2572593.2071790188</v>
      </c>
      <c r="C338" s="77">
        <v>366279.39637153072</v>
      </c>
    </row>
    <row r="339" spans="1:3" x14ac:dyDescent="0.3">
      <c r="A339">
        <f t="shared" si="5"/>
        <v>338</v>
      </c>
      <c r="B339" s="77">
        <v>2252082.8299527653</v>
      </c>
      <c r="C339" s="77">
        <v>320645.92926385108</v>
      </c>
    </row>
    <row r="340" spans="1:3" x14ac:dyDescent="0.3">
      <c r="A340">
        <f t="shared" si="5"/>
        <v>339</v>
      </c>
      <c r="B340" s="77">
        <v>2295641.3615359403</v>
      </c>
      <c r="C340" s="77">
        <v>326847.68421313463</v>
      </c>
    </row>
    <row r="341" spans="1:3" x14ac:dyDescent="0.3">
      <c r="A341">
        <f t="shared" si="5"/>
        <v>340</v>
      </c>
      <c r="B341" s="77">
        <v>2510444.2342616147</v>
      </c>
      <c r="C341" s="77">
        <v>357430.78081048012</v>
      </c>
    </row>
    <row r="342" spans="1:3" x14ac:dyDescent="0.3">
      <c r="A342">
        <f t="shared" si="5"/>
        <v>341</v>
      </c>
      <c r="B342" s="77">
        <v>2771805.8179073096</v>
      </c>
      <c r="C342" s="77">
        <v>394642.79039882339</v>
      </c>
    </row>
    <row r="343" spans="1:3" x14ac:dyDescent="0.3">
      <c r="A343">
        <f t="shared" si="5"/>
        <v>342</v>
      </c>
      <c r="B343" s="77">
        <v>2277778.27843463</v>
      </c>
      <c r="C343" s="77">
        <v>324304.38305015868</v>
      </c>
    </row>
    <row r="344" spans="1:3" x14ac:dyDescent="0.3">
      <c r="A344">
        <f t="shared" si="5"/>
        <v>343</v>
      </c>
      <c r="B344" s="77">
        <v>2208863.5540754488</v>
      </c>
      <c r="C344" s="77">
        <v>314492.47669475374</v>
      </c>
    </row>
    <row r="345" spans="1:3" x14ac:dyDescent="0.3">
      <c r="A345">
        <f t="shared" si="5"/>
        <v>344</v>
      </c>
      <c r="B345" s="77">
        <v>1881291.4247222478</v>
      </c>
      <c r="C345" s="77">
        <v>267853.57495435968</v>
      </c>
    </row>
    <row r="346" spans="1:3" x14ac:dyDescent="0.3">
      <c r="A346">
        <f t="shared" si="5"/>
        <v>345</v>
      </c>
      <c r="B346" s="77">
        <v>2637720.7752584326</v>
      </c>
      <c r="C346" s="77">
        <v>375552.09687338409</v>
      </c>
    </row>
    <row r="347" spans="1:3" x14ac:dyDescent="0.3">
      <c r="A347">
        <f t="shared" si="5"/>
        <v>346</v>
      </c>
      <c r="B347" s="77">
        <v>2614611.9010192472</v>
      </c>
      <c r="C347" s="77">
        <v>372261.91306836816</v>
      </c>
    </row>
    <row r="348" spans="1:3" x14ac:dyDescent="0.3">
      <c r="A348">
        <f t="shared" si="5"/>
        <v>347</v>
      </c>
      <c r="B348" s="77">
        <v>2450352.1884555188</v>
      </c>
      <c r="C348" s="77">
        <v>348875.02539482975</v>
      </c>
    </row>
    <row r="349" spans="1:3" x14ac:dyDescent="0.3">
      <c r="A349">
        <f t="shared" si="5"/>
        <v>348</v>
      </c>
      <c r="B349" s="77">
        <v>2972386.1938252612</v>
      </c>
      <c r="C349" s="77">
        <v>423200.92341813742</v>
      </c>
    </row>
    <row r="350" spans="1:3" x14ac:dyDescent="0.3">
      <c r="A350">
        <f t="shared" si="5"/>
        <v>349</v>
      </c>
      <c r="B350" s="77">
        <v>2624984.6071382277</v>
      </c>
      <c r="C350" s="77">
        <v>373738.75306211348</v>
      </c>
    </row>
    <row r="351" spans="1:3" x14ac:dyDescent="0.3">
      <c r="A351">
        <f t="shared" si="5"/>
        <v>350</v>
      </c>
      <c r="B351" s="77">
        <v>2304504.8677185392</v>
      </c>
      <c r="C351" s="77">
        <v>328109.64808882162</v>
      </c>
    </row>
    <row r="352" spans="1:3" x14ac:dyDescent="0.3">
      <c r="A352">
        <f t="shared" si="5"/>
        <v>351</v>
      </c>
      <c r="B352" s="77">
        <v>2046606.4047366441</v>
      </c>
      <c r="C352" s="77">
        <v>291390.70897223364</v>
      </c>
    </row>
    <row r="353" spans="1:3" x14ac:dyDescent="0.3">
      <c r="A353">
        <f t="shared" si="5"/>
        <v>352</v>
      </c>
      <c r="B353" s="77">
        <v>2568116.4618279804</v>
      </c>
      <c r="C353" s="77">
        <v>365642.00854810351</v>
      </c>
    </row>
    <row r="354" spans="1:3" x14ac:dyDescent="0.3">
      <c r="A354">
        <f t="shared" si="5"/>
        <v>353</v>
      </c>
      <c r="B354" s="77">
        <v>2000932.1608030864</v>
      </c>
      <c r="C354" s="77">
        <v>284887.72418201325</v>
      </c>
    </row>
    <row r="355" spans="1:3" x14ac:dyDescent="0.3">
      <c r="A355">
        <f t="shared" si="5"/>
        <v>354</v>
      </c>
      <c r="B355" s="77">
        <v>2354956.4561317991</v>
      </c>
      <c r="C355" s="77">
        <v>335292.81925573043</v>
      </c>
    </row>
    <row r="356" spans="1:3" x14ac:dyDescent="0.3">
      <c r="A356">
        <f t="shared" si="5"/>
        <v>355</v>
      </c>
      <c r="B356" s="77">
        <v>2186482.559262766</v>
      </c>
      <c r="C356" s="77">
        <v>311305.9265447699</v>
      </c>
    </row>
    <row r="357" spans="1:3" x14ac:dyDescent="0.3">
      <c r="A357">
        <f t="shared" si="5"/>
        <v>356</v>
      </c>
      <c r="B357" s="77">
        <v>1940103.4958070056</v>
      </c>
      <c r="C357" s="77">
        <v>276227.09076563176</v>
      </c>
    </row>
    <row r="358" spans="1:3" x14ac:dyDescent="0.3">
      <c r="A358">
        <f t="shared" si="5"/>
        <v>357</v>
      </c>
      <c r="B358" s="77">
        <v>2390870.2548925844</v>
      </c>
      <c r="C358" s="77">
        <v>340406.13623674412</v>
      </c>
    </row>
    <row r="359" spans="1:3" x14ac:dyDescent="0.3">
      <c r="A359">
        <f t="shared" si="5"/>
        <v>358</v>
      </c>
      <c r="B359" s="77">
        <v>2698026.1596938982</v>
      </c>
      <c r="C359" s="77">
        <v>384138.22691031935</v>
      </c>
    </row>
    <row r="360" spans="1:3" x14ac:dyDescent="0.3">
      <c r="A360">
        <f t="shared" si="5"/>
        <v>359</v>
      </c>
      <c r="B360" s="77">
        <v>2496963.8620196003</v>
      </c>
      <c r="C360" s="77">
        <v>355511.47907482681</v>
      </c>
    </row>
    <row r="361" spans="1:3" x14ac:dyDescent="0.3">
      <c r="A361">
        <f t="shared" si="5"/>
        <v>360</v>
      </c>
      <c r="B361" s="77">
        <v>1908882.5732056939</v>
      </c>
      <c r="C361" s="77">
        <v>271781.93377281266</v>
      </c>
    </row>
    <row r="362" spans="1:3" x14ac:dyDescent="0.3">
      <c r="A362">
        <f t="shared" si="5"/>
        <v>361</v>
      </c>
      <c r="B362" s="77">
        <v>2624144.9148156992</v>
      </c>
      <c r="C362" s="77">
        <v>373619.1997661725</v>
      </c>
    </row>
    <row r="363" spans="1:3" x14ac:dyDescent="0.3">
      <c r="A363">
        <f t="shared" si="5"/>
        <v>362</v>
      </c>
      <c r="B363" s="77">
        <v>2618229.0961776972</v>
      </c>
      <c r="C363" s="77">
        <v>372776.92028190574</v>
      </c>
    </row>
    <row r="364" spans="1:3" x14ac:dyDescent="0.3">
      <c r="A364">
        <f t="shared" si="5"/>
        <v>363</v>
      </c>
      <c r="B364" s="77">
        <v>2433687.3805130646</v>
      </c>
      <c r="C364" s="77">
        <v>346502.33165655198</v>
      </c>
    </row>
    <row r="365" spans="1:3" x14ac:dyDescent="0.3">
      <c r="A365">
        <f t="shared" si="5"/>
        <v>364</v>
      </c>
      <c r="B365" s="77">
        <v>2296380.9782791701</v>
      </c>
      <c r="C365" s="77">
        <v>326952.98899801099</v>
      </c>
    </row>
    <row r="366" spans="1:3" x14ac:dyDescent="0.3">
      <c r="A366">
        <f t="shared" si="5"/>
        <v>365</v>
      </c>
      <c r="B366" s="77">
        <v>2412084.6893040636</v>
      </c>
      <c r="C366" s="77">
        <v>343426.59443002398</v>
      </c>
    </row>
    <row r="367" spans="1:3" x14ac:dyDescent="0.3">
      <c r="A367">
        <f t="shared" si="5"/>
        <v>366</v>
      </c>
      <c r="B367" s="77">
        <v>2336135.4594684071</v>
      </c>
      <c r="C367" s="77">
        <v>332613.13275195652</v>
      </c>
    </row>
    <row r="368" spans="1:3" x14ac:dyDescent="0.3">
      <c r="A368">
        <f t="shared" si="5"/>
        <v>367</v>
      </c>
      <c r="B368" s="77">
        <v>2269528.0594488657</v>
      </c>
      <c r="C368" s="77">
        <v>323129.73747401166</v>
      </c>
    </row>
    <row r="369" spans="1:3" x14ac:dyDescent="0.3">
      <c r="A369">
        <f t="shared" si="5"/>
        <v>368</v>
      </c>
      <c r="B369" s="77">
        <v>2475842.1737650014</v>
      </c>
      <c r="C369" s="77">
        <v>352504.22584775108</v>
      </c>
    </row>
    <row r="370" spans="1:3" x14ac:dyDescent="0.3">
      <c r="A370">
        <f t="shared" si="5"/>
        <v>369</v>
      </c>
      <c r="B370" s="77">
        <v>2715595.5347030484</v>
      </c>
      <c r="C370" s="77">
        <v>386639.71064860275</v>
      </c>
    </row>
    <row r="371" spans="1:3" x14ac:dyDescent="0.3">
      <c r="A371">
        <f t="shared" si="5"/>
        <v>370</v>
      </c>
      <c r="B371" s="77">
        <v>2323399.7161101983</v>
      </c>
      <c r="C371" s="77">
        <v>330799.84941723821</v>
      </c>
    </row>
    <row r="372" spans="1:3" x14ac:dyDescent="0.3">
      <c r="A372">
        <f t="shared" si="5"/>
        <v>371</v>
      </c>
      <c r="B372" s="77">
        <v>2394402.4417452468</v>
      </c>
      <c r="C372" s="77">
        <v>340909.04017999262</v>
      </c>
    </row>
    <row r="373" spans="1:3" x14ac:dyDescent="0.3">
      <c r="A373">
        <f t="shared" si="5"/>
        <v>372</v>
      </c>
      <c r="B373" s="77">
        <v>2813504.9349416923</v>
      </c>
      <c r="C373" s="77">
        <v>400579.80654811492</v>
      </c>
    </row>
    <row r="374" spans="1:3" x14ac:dyDescent="0.3">
      <c r="A374">
        <f t="shared" si="5"/>
        <v>373</v>
      </c>
      <c r="B374" s="77">
        <v>2330986.8109827354</v>
      </c>
      <c r="C374" s="77">
        <v>331880.08103814558</v>
      </c>
    </row>
    <row r="375" spans="1:3" x14ac:dyDescent="0.3">
      <c r="A375">
        <f t="shared" si="5"/>
        <v>374</v>
      </c>
      <c r="B375" s="77">
        <v>2615618.7651242232</v>
      </c>
      <c r="C375" s="77">
        <v>372405.26786522049</v>
      </c>
    </row>
    <row r="376" spans="1:3" x14ac:dyDescent="0.3">
      <c r="A376">
        <f t="shared" si="5"/>
        <v>375</v>
      </c>
      <c r="B376" s="77">
        <v>2073081.8315699112</v>
      </c>
      <c r="C376" s="77">
        <v>295160.21412839531</v>
      </c>
    </row>
    <row r="377" spans="1:3" x14ac:dyDescent="0.3">
      <c r="A377">
        <f t="shared" si="5"/>
        <v>376</v>
      </c>
      <c r="B377" s="77">
        <v>2718042.7013222687</v>
      </c>
      <c r="C377" s="77">
        <v>386988.13212060509</v>
      </c>
    </row>
    <row r="378" spans="1:3" x14ac:dyDescent="0.3">
      <c r="A378">
        <f t="shared" si="5"/>
        <v>377</v>
      </c>
      <c r="B378" s="77">
        <v>2432456.051123708</v>
      </c>
      <c r="C378" s="77">
        <v>346327.01805306057</v>
      </c>
    </row>
    <row r="379" spans="1:3" x14ac:dyDescent="0.3">
      <c r="A379">
        <f t="shared" si="5"/>
        <v>378</v>
      </c>
      <c r="B379" s="77">
        <v>1903519.1023935257</v>
      </c>
      <c r="C379" s="77">
        <v>271018.29619262501</v>
      </c>
    </row>
    <row r="380" spans="1:3" x14ac:dyDescent="0.3">
      <c r="A380">
        <f t="shared" si="5"/>
        <v>379</v>
      </c>
      <c r="B380" s="77">
        <v>2779692.5035437085</v>
      </c>
      <c r="C380" s="77">
        <v>395765.67700452963</v>
      </c>
    </row>
    <row r="381" spans="1:3" x14ac:dyDescent="0.3">
      <c r="A381">
        <f t="shared" si="5"/>
        <v>380</v>
      </c>
      <c r="B381" s="77">
        <v>2396219.9826921993</v>
      </c>
      <c r="C381" s="77">
        <v>341167.81712112442</v>
      </c>
    </row>
    <row r="382" spans="1:3" x14ac:dyDescent="0.3">
      <c r="A382">
        <f t="shared" si="5"/>
        <v>381</v>
      </c>
      <c r="B382" s="77">
        <v>2423890.1570273275</v>
      </c>
      <c r="C382" s="77">
        <v>345107.42744299083</v>
      </c>
    </row>
    <row r="383" spans="1:3" x14ac:dyDescent="0.3">
      <c r="A383">
        <f t="shared" si="5"/>
        <v>382</v>
      </c>
      <c r="B383" s="77">
        <v>1990153.2864869172</v>
      </c>
      <c r="C383" s="77">
        <v>283353.05497466493</v>
      </c>
    </row>
    <row r="384" spans="1:3" x14ac:dyDescent="0.3">
      <c r="A384">
        <f t="shared" si="5"/>
        <v>383</v>
      </c>
      <c r="B384" s="77">
        <v>2112376.5981985</v>
      </c>
      <c r="C384" s="77">
        <v>300754.90487122838</v>
      </c>
    </row>
    <row r="385" spans="1:3" x14ac:dyDescent="0.3">
      <c r="A385">
        <f t="shared" si="5"/>
        <v>384</v>
      </c>
      <c r="B385" s="77">
        <v>1920229.7922251374</v>
      </c>
      <c r="C385" s="77">
        <v>273397.5224797015</v>
      </c>
    </row>
    <row r="386" spans="1:3" x14ac:dyDescent="0.3">
      <c r="A386">
        <f t="shared" si="5"/>
        <v>385</v>
      </c>
      <c r="B386" s="77">
        <v>1930754.332982451</v>
      </c>
      <c r="C386" s="77">
        <v>274895.98031008017</v>
      </c>
    </row>
    <row r="387" spans="1:3" x14ac:dyDescent="0.3">
      <c r="A387">
        <f t="shared" si="5"/>
        <v>386</v>
      </c>
      <c r="B387" s="77">
        <v>2624722.638593825</v>
      </c>
      <c r="C387" s="77">
        <v>373701.45463496831</v>
      </c>
    </row>
    <row r="388" spans="1:3" x14ac:dyDescent="0.3">
      <c r="A388">
        <f t="shared" si="5"/>
        <v>387</v>
      </c>
      <c r="B388" s="77">
        <v>2711783.8951420034</v>
      </c>
      <c r="C388" s="77">
        <v>386097.01892660436</v>
      </c>
    </row>
    <row r="389" spans="1:3" x14ac:dyDescent="0.3">
      <c r="A389">
        <f t="shared" ref="A389:A452" si="6">A388+1</f>
        <v>388</v>
      </c>
      <c r="B389" s="77">
        <v>2054171.9673002155</v>
      </c>
      <c r="C389" s="77">
        <v>292467.87487676257</v>
      </c>
    </row>
    <row r="390" spans="1:3" x14ac:dyDescent="0.3">
      <c r="A390">
        <f t="shared" si="6"/>
        <v>389</v>
      </c>
      <c r="B390" s="77">
        <v>2841760.7037286418</v>
      </c>
      <c r="C390" s="77">
        <v>404602.79234564258</v>
      </c>
    </row>
    <row r="391" spans="1:3" x14ac:dyDescent="0.3">
      <c r="A391">
        <f t="shared" si="6"/>
        <v>390</v>
      </c>
      <c r="B391" s="77">
        <v>2240516.1962850955</v>
      </c>
      <c r="C391" s="77">
        <v>318999.100847286</v>
      </c>
    </row>
    <row r="392" spans="1:3" x14ac:dyDescent="0.3">
      <c r="A392">
        <f t="shared" si="6"/>
        <v>391</v>
      </c>
      <c r="B392" s="77">
        <v>2416990.8299228922</v>
      </c>
      <c r="C392" s="77">
        <v>344125.11847936211</v>
      </c>
    </row>
    <row r="393" spans="1:3" x14ac:dyDescent="0.3">
      <c r="A393">
        <f t="shared" si="6"/>
        <v>392</v>
      </c>
      <c r="B393" s="77">
        <v>2331790.6922589638</v>
      </c>
      <c r="C393" s="77">
        <v>331994.53564674431</v>
      </c>
    </row>
    <row r="394" spans="1:3" x14ac:dyDescent="0.3">
      <c r="A394">
        <f t="shared" si="6"/>
        <v>393</v>
      </c>
      <c r="B394" s="77">
        <v>1924554.8699118402</v>
      </c>
      <c r="C394" s="77">
        <v>274013.3162398361</v>
      </c>
    </row>
    <row r="395" spans="1:3" x14ac:dyDescent="0.3">
      <c r="A395">
        <f t="shared" si="6"/>
        <v>394</v>
      </c>
      <c r="B395" s="77">
        <v>2368196.4968058025</v>
      </c>
      <c r="C395" s="77">
        <v>337177.90318290377</v>
      </c>
    </row>
    <row r="396" spans="1:3" x14ac:dyDescent="0.3">
      <c r="A396">
        <f t="shared" si="6"/>
        <v>395</v>
      </c>
      <c r="B396" s="77">
        <v>2070731.2438127426</v>
      </c>
      <c r="C396" s="77">
        <v>294825.54331358813</v>
      </c>
    </row>
    <row r="397" spans="1:3" x14ac:dyDescent="0.3">
      <c r="A397">
        <f t="shared" si="6"/>
        <v>396</v>
      </c>
      <c r="B397" s="77">
        <v>2846515.8197437539</v>
      </c>
      <c r="C397" s="77">
        <v>405279.81388905313</v>
      </c>
    </row>
    <row r="398" spans="1:3" x14ac:dyDescent="0.3">
      <c r="A398">
        <f t="shared" si="6"/>
        <v>397</v>
      </c>
      <c r="B398" s="77">
        <v>2309504.6248587794</v>
      </c>
      <c r="C398" s="77">
        <v>328821.50102469232</v>
      </c>
    </row>
    <row r="399" spans="1:3" x14ac:dyDescent="0.3">
      <c r="A399">
        <f t="shared" si="6"/>
        <v>398</v>
      </c>
      <c r="B399" s="77">
        <v>2371384.4977158685</v>
      </c>
      <c r="C399" s="77">
        <v>337631.80279117147</v>
      </c>
    </row>
    <row r="400" spans="1:3" x14ac:dyDescent="0.3">
      <c r="A400">
        <f t="shared" si="6"/>
        <v>399</v>
      </c>
      <c r="B400" s="77">
        <v>2495659.6358545548</v>
      </c>
      <c r="C400" s="77">
        <v>355325.78661045589</v>
      </c>
    </row>
    <row r="401" spans="1:3" x14ac:dyDescent="0.3">
      <c r="A401">
        <f t="shared" si="6"/>
        <v>400</v>
      </c>
      <c r="B401" s="77">
        <v>2651904.6094086673</v>
      </c>
      <c r="C401" s="77">
        <v>377571.55575879361</v>
      </c>
    </row>
    <row r="402" spans="1:3" x14ac:dyDescent="0.3">
      <c r="A402">
        <f t="shared" si="6"/>
        <v>401</v>
      </c>
      <c r="B402" s="77">
        <v>2427786.4561311286</v>
      </c>
      <c r="C402" s="77">
        <v>345662.17277926893</v>
      </c>
    </row>
    <row r="403" spans="1:3" x14ac:dyDescent="0.3">
      <c r="A403">
        <f t="shared" si="6"/>
        <v>402</v>
      </c>
      <c r="B403" s="77">
        <v>2164761.2081129905</v>
      </c>
      <c r="C403" s="77">
        <v>308213.29481220065</v>
      </c>
    </row>
    <row r="404" spans="1:3" x14ac:dyDescent="0.3">
      <c r="A404">
        <f t="shared" si="6"/>
        <v>403</v>
      </c>
      <c r="B404" s="77">
        <v>2238253.2883119453</v>
      </c>
      <c r="C404" s="77">
        <v>318676.91366116708</v>
      </c>
    </row>
    <row r="405" spans="1:3" x14ac:dyDescent="0.3">
      <c r="A405">
        <f t="shared" si="6"/>
        <v>404</v>
      </c>
      <c r="B405" s="77">
        <v>2496864.2696678606</v>
      </c>
      <c r="C405" s="77">
        <v>355497.29936449532</v>
      </c>
    </row>
    <row r="406" spans="1:3" x14ac:dyDescent="0.3">
      <c r="A406">
        <f t="shared" si="6"/>
        <v>405</v>
      </c>
      <c r="B406" s="77">
        <v>2135028.9506144039</v>
      </c>
      <c r="C406" s="77">
        <v>303980.09023910493</v>
      </c>
    </row>
    <row r="407" spans="1:3" x14ac:dyDescent="0.3">
      <c r="A407">
        <f t="shared" si="6"/>
        <v>406</v>
      </c>
      <c r="B407" s="77">
        <v>2067390.0239258255</v>
      </c>
      <c r="C407" s="77">
        <v>294349.82877002587</v>
      </c>
    </row>
    <row r="408" spans="1:3" x14ac:dyDescent="0.3">
      <c r="A408">
        <f t="shared" si="6"/>
        <v>407</v>
      </c>
      <c r="B408" s="77">
        <v>1949451.4842364495</v>
      </c>
      <c r="C408" s="77">
        <v>277558.03401374031</v>
      </c>
    </row>
    <row r="409" spans="1:3" x14ac:dyDescent="0.3">
      <c r="A409">
        <f t="shared" si="6"/>
        <v>408</v>
      </c>
      <c r="B409" s="77">
        <v>2143186.0689916261</v>
      </c>
      <c r="C409" s="77">
        <v>305141.48038310534</v>
      </c>
    </row>
    <row r="410" spans="1:3" x14ac:dyDescent="0.3">
      <c r="A410">
        <f t="shared" si="6"/>
        <v>409</v>
      </c>
      <c r="B410" s="77">
        <v>2215163.7233849396</v>
      </c>
      <c r="C410" s="77">
        <v>315389.47906779859</v>
      </c>
    </row>
    <row r="411" spans="1:3" x14ac:dyDescent="0.3">
      <c r="A411">
        <f t="shared" si="6"/>
        <v>410</v>
      </c>
      <c r="B411" s="77">
        <v>2107042.1886418401</v>
      </c>
      <c r="C411" s="77">
        <v>299995.40496002615</v>
      </c>
    </row>
    <row r="412" spans="1:3" x14ac:dyDescent="0.3">
      <c r="A412">
        <f t="shared" si="6"/>
        <v>411</v>
      </c>
      <c r="B412" s="77">
        <v>1871501.7303504392</v>
      </c>
      <c r="C412" s="77">
        <v>266459.74271723744</v>
      </c>
    </row>
    <row r="413" spans="1:3" x14ac:dyDescent="0.3">
      <c r="A413">
        <f t="shared" si="6"/>
        <v>412</v>
      </c>
      <c r="B413" s="77">
        <v>2098886.5554532045</v>
      </c>
      <c r="C413" s="77">
        <v>298834.22627346776</v>
      </c>
    </row>
    <row r="414" spans="1:3" x14ac:dyDescent="0.3">
      <c r="A414">
        <f t="shared" si="6"/>
        <v>413</v>
      </c>
      <c r="B414" s="77">
        <v>2205153.1084382944</v>
      </c>
      <c r="C414" s="77">
        <v>313964.19271093002</v>
      </c>
    </row>
    <row r="415" spans="1:3" x14ac:dyDescent="0.3">
      <c r="A415">
        <f t="shared" si="6"/>
        <v>414</v>
      </c>
      <c r="B415" s="77">
        <v>2384220.1654215548</v>
      </c>
      <c r="C415" s="77">
        <v>339459.31310494541</v>
      </c>
    </row>
    <row r="416" spans="1:3" x14ac:dyDescent="0.3">
      <c r="A416">
        <f t="shared" si="6"/>
        <v>415</v>
      </c>
      <c r="B416" s="77">
        <v>2212039.367883475</v>
      </c>
      <c r="C416" s="77">
        <v>314944.64113386755</v>
      </c>
    </row>
    <row r="417" spans="1:3" x14ac:dyDescent="0.3">
      <c r="A417">
        <f t="shared" si="6"/>
        <v>416</v>
      </c>
      <c r="B417" s="77">
        <v>2580869.4877509917</v>
      </c>
      <c r="C417" s="77">
        <v>367457.75253123924</v>
      </c>
    </row>
    <row r="418" spans="1:3" x14ac:dyDescent="0.3">
      <c r="A418">
        <f t="shared" si="6"/>
        <v>417</v>
      </c>
      <c r="B418" s="77">
        <v>2196287.9245960633</v>
      </c>
      <c r="C418" s="77">
        <v>312701.98997425422</v>
      </c>
    </row>
    <row r="419" spans="1:3" x14ac:dyDescent="0.3">
      <c r="A419">
        <f t="shared" si="6"/>
        <v>418</v>
      </c>
      <c r="B419" s="77">
        <v>2282110.4561282881</v>
      </c>
      <c r="C419" s="77">
        <v>324921.18769155291</v>
      </c>
    </row>
    <row r="420" spans="1:3" x14ac:dyDescent="0.3">
      <c r="A420">
        <f t="shared" si="6"/>
        <v>419</v>
      </c>
      <c r="B420" s="77">
        <v>2332490.9832721604</v>
      </c>
      <c r="C420" s="77">
        <v>332094.24133238563</v>
      </c>
    </row>
    <row r="421" spans="1:3" x14ac:dyDescent="0.3">
      <c r="A421">
        <f t="shared" si="6"/>
        <v>420</v>
      </c>
      <c r="B421" s="77">
        <v>2072941.6366617077</v>
      </c>
      <c r="C421" s="77">
        <v>295140.25352747017</v>
      </c>
    </row>
    <row r="422" spans="1:3" x14ac:dyDescent="0.3">
      <c r="A422">
        <f t="shared" si="6"/>
        <v>421</v>
      </c>
      <c r="B422" s="77">
        <v>1974129.4143903777</v>
      </c>
      <c r="C422" s="77">
        <v>281071.61608153692</v>
      </c>
    </row>
    <row r="423" spans="1:3" x14ac:dyDescent="0.3">
      <c r="A423">
        <f t="shared" si="6"/>
        <v>422</v>
      </c>
      <c r="B423" s="77">
        <v>2286220.0773866875</v>
      </c>
      <c r="C423" s="77">
        <v>325506.30530347908</v>
      </c>
    </row>
    <row r="424" spans="1:3" x14ac:dyDescent="0.3">
      <c r="A424">
        <f t="shared" si="6"/>
        <v>423</v>
      </c>
      <c r="B424" s="77">
        <v>2750966.2600342119</v>
      </c>
      <c r="C424" s="77">
        <v>391675.70619090938</v>
      </c>
    </row>
    <row r="425" spans="1:3" x14ac:dyDescent="0.3">
      <c r="A425">
        <f t="shared" si="6"/>
        <v>424</v>
      </c>
      <c r="B425" s="77">
        <v>2364692.3330290876</v>
      </c>
      <c r="C425" s="77">
        <v>336678.98909522739</v>
      </c>
    </row>
    <row r="426" spans="1:3" x14ac:dyDescent="0.3">
      <c r="A426">
        <f t="shared" si="6"/>
        <v>425</v>
      </c>
      <c r="B426" s="77">
        <v>2094257.4693453971</v>
      </c>
      <c r="C426" s="77">
        <v>298175.14855352824</v>
      </c>
    </row>
    <row r="427" spans="1:3" x14ac:dyDescent="0.3">
      <c r="A427">
        <f t="shared" si="6"/>
        <v>426</v>
      </c>
      <c r="B427" s="77">
        <v>2581297.3635154734</v>
      </c>
      <c r="C427" s="77">
        <v>367518.67241406371</v>
      </c>
    </row>
    <row r="428" spans="1:3" x14ac:dyDescent="0.3">
      <c r="A428">
        <f t="shared" si="6"/>
        <v>427</v>
      </c>
      <c r="B428" s="77">
        <v>2491081.1720608971</v>
      </c>
      <c r="C428" s="77">
        <v>354673.9163691873</v>
      </c>
    </row>
    <row r="429" spans="1:3" x14ac:dyDescent="0.3">
      <c r="A429">
        <f t="shared" si="6"/>
        <v>428</v>
      </c>
      <c r="B429" s="77">
        <v>1886547.4028399156</v>
      </c>
      <c r="C429" s="77">
        <v>268601.9079931429</v>
      </c>
    </row>
    <row r="430" spans="1:3" x14ac:dyDescent="0.3">
      <c r="A430">
        <f t="shared" si="6"/>
        <v>429</v>
      </c>
      <c r="B430" s="77">
        <v>2737762.7519324305</v>
      </c>
      <c r="C430" s="77">
        <v>389795.82368013717</v>
      </c>
    </row>
    <row r="431" spans="1:3" x14ac:dyDescent="0.3">
      <c r="A431">
        <f t="shared" si="6"/>
        <v>430</v>
      </c>
      <c r="B431" s="77">
        <v>2584431.8509300812</v>
      </c>
      <c r="C431" s="77">
        <v>367964.95290448592</v>
      </c>
    </row>
    <row r="432" spans="1:3" x14ac:dyDescent="0.3">
      <c r="A432">
        <f t="shared" si="6"/>
        <v>431</v>
      </c>
      <c r="B432" s="77">
        <v>2492703.1789904376</v>
      </c>
      <c r="C432" s="77">
        <v>354904.85366522172</v>
      </c>
    </row>
    <row r="433" spans="1:3" x14ac:dyDescent="0.3">
      <c r="A433">
        <f t="shared" si="6"/>
        <v>432</v>
      </c>
      <c r="B433" s="77">
        <v>2322822.7228447879</v>
      </c>
      <c r="C433" s="77">
        <v>330717.69855701854</v>
      </c>
    </row>
    <row r="434" spans="1:3" x14ac:dyDescent="0.3">
      <c r="A434">
        <f t="shared" si="6"/>
        <v>433</v>
      </c>
      <c r="B434" s="77">
        <v>2188940.4240538478</v>
      </c>
      <c r="C434" s="77">
        <v>311655.87119576562</v>
      </c>
    </row>
    <row r="435" spans="1:3" x14ac:dyDescent="0.3">
      <c r="A435">
        <f t="shared" si="6"/>
        <v>434</v>
      </c>
      <c r="B435" s="77">
        <v>2750023.4196090735</v>
      </c>
      <c r="C435" s="77">
        <v>391541.46692570776</v>
      </c>
    </row>
    <row r="436" spans="1:3" x14ac:dyDescent="0.3">
      <c r="A436">
        <f t="shared" si="6"/>
        <v>435</v>
      </c>
      <c r="B436" s="77">
        <v>2241294.9250571337</v>
      </c>
      <c r="C436" s="77">
        <v>319109.97430515074</v>
      </c>
    </row>
    <row r="437" spans="1:3" x14ac:dyDescent="0.3">
      <c r="A437">
        <f t="shared" si="6"/>
        <v>436</v>
      </c>
      <c r="B437" s="77">
        <v>1986322.9028658252</v>
      </c>
      <c r="C437" s="77">
        <v>282807.69452020607</v>
      </c>
    </row>
    <row r="438" spans="1:3" x14ac:dyDescent="0.3">
      <c r="A438">
        <f t="shared" si="6"/>
        <v>437</v>
      </c>
      <c r="B438" s="77">
        <v>2591871.2532560397</v>
      </c>
      <c r="C438" s="77">
        <v>369024.15642944007</v>
      </c>
    </row>
    <row r="439" spans="1:3" x14ac:dyDescent="0.3">
      <c r="A439">
        <f t="shared" si="6"/>
        <v>438</v>
      </c>
      <c r="B439" s="77">
        <v>2567237.7162688631</v>
      </c>
      <c r="C439" s="77">
        <v>365516.89494986366</v>
      </c>
    </row>
    <row r="440" spans="1:3" x14ac:dyDescent="0.3">
      <c r="A440">
        <f t="shared" si="6"/>
        <v>439</v>
      </c>
      <c r="B440" s="77">
        <v>2181872.0344906137</v>
      </c>
      <c r="C440" s="77">
        <v>310649.49154144817</v>
      </c>
    </row>
    <row r="441" spans="1:3" x14ac:dyDescent="0.3">
      <c r="A441">
        <f t="shared" si="6"/>
        <v>440</v>
      </c>
      <c r="B441" s="77">
        <v>2083664.5050629824</v>
      </c>
      <c r="C441" s="77">
        <v>296666.94875251787</v>
      </c>
    </row>
    <row r="442" spans="1:3" x14ac:dyDescent="0.3">
      <c r="A442">
        <f t="shared" si="6"/>
        <v>441</v>
      </c>
      <c r="B442" s="77">
        <v>2262883.413271796</v>
      </c>
      <c r="C442" s="77">
        <v>322183.68934481352</v>
      </c>
    </row>
    <row r="443" spans="1:3" x14ac:dyDescent="0.3">
      <c r="A443">
        <f t="shared" si="6"/>
        <v>442</v>
      </c>
      <c r="B443" s="77">
        <v>2458528.6372656985</v>
      </c>
      <c r="C443" s="77">
        <v>350039.16775760124</v>
      </c>
    </row>
    <row r="444" spans="1:3" x14ac:dyDescent="0.3">
      <c r="A444">
        <f t="shared" si="6"/>
        <v>443</v>
      </c>
      <c r="B444" s="77">
        <v>2525534.5010964568</v>
      </c>
      <c r="C444" s="77">
        <v>359579.29531791451</v>
      </c>
    </row>
    <row r="445" spans="1:3" x14ac:dyDescent="0.3">
      <c r="A445">
        <f t="shared" si="6"/>
        <v>444</v>
      </c>
      <c r="B445" s="77">
        <v>2368470.6952868239</v>
      </c>
      <c r="C445" s="77">
        <v>337216.94287788321</v>
      </c>
    </row>
    <row r="446" spans="1:3" x14ac:dyDescent="0.3">
      <c r="A446">
        <f t="shared" si="6"/>
        <v>445</v>
      </c>
      <c r="B446" s="77">
        <v>2337871.6078495355</v>
      </c>
      <c r="C446" s="77">
        <v>332860.32122282579</v>
      </c>
    </row>
    <row r="447" spans="1:3" x14ac:dyDescent="0.3">
      <c r="A447">
        <f t="shared" si="6"/>
        <v>446</v>
      </c>
      <c r="B447" s="77">
        <v>2677831.5637102551</v>
      </c>
      <c r="C447" s="77">
        <v>381262.97076558019</v>
      </c>
    </row>
    <row r="448" spans="1:3" x14ac:dyDescent="0.3">
      <c r="A448">
        <f t="shared" si="6"/>
        <v>447</v>
      </c>
      <c r="B448" s="77">
        <v>2678446.1910240613</v>
      </c>
      <c r="C448" s="77">
        <v>381350.47986762796</v>
      </c>
    </row>
    <row r="449" spans="1:3" x14ac:dyDescent="0.3">
      <c r="A449">
        <f t="shared" si="6"/>
        <v>448</v>
      </c>
      <c r="B449" s="77">
        <v>2347444.1394582363</v>
      </c>
      <c r="C449" s="77">
        <v>334223.2343680514</v>
      </c>
    </row>
    <row r="450" spans="1:3" x14ac:dyDescent="0.3">
      <c r="A450">
        <f t="shared" si="6"/>
        <v>449</v>
      </c>
      <c r="B450" s="77">
        <v>2406599.9634400574</v>
      </c>
      <c r="C450" s="77">
        <v>342645.69285836263</v>
      </c>
    </row>
    <row r="451" spans="1:3" x14ac:dyDescent="0.3">
      <c r="A451">
        <f t="shared" si="6"/>
        <v>450</v>
      </c>
      <c r="B451" s="77">
        <v>2443928.387434429</v>
      </c>
      <c r="C451" s="77">
        <v>347960.42064742948</v>
      </c>
    </row>
    <row r="452" spans="1:3" x14ac:dyDescent="0.3">
      <c r="A452">
        <f t="shared" si="6"/>
        <v>451</v>
      </c>
      <c r="B452" s="77">
        <v>2113200.4655583403</v>
      </c>
      <c r="C452" s="77">
        <v>300872.20504850103</v>
      </c>
    </row>
    <row r="453" spans="1:3" x14ac:dyDescent="0.3">
      <c r="A453">
        <f t="shared" ref="A453:A501" si="7">A452+1</f>
        <v>452</v>
      </c>
      <c r="B453" s="77">
        <v>2688088.6974832281</v>
      </c>
      <c r="C453" s="77">
        <v>382723.35585731664</v>
      </c>
    </row>
    <row r="454" spans="1:3" x14ac:dyDescent="0.3">
      <c r="A454">
        <f t="shared" si="7"/>
        <v>453</v>
      </c>
      <c r="B454" s="77">
        <v>2415400.4778928165</v>
      </c>
      <c r="C454" s="77">
        <v>343898.68812886259</v>
      </c>
    </row>
    <row r="455" spans="1:3" x14ac:dyDescent="0.3">
      <c r="A455">
        <f t="shared" si="7"/>
        <v>454</v>
      </c>
      <c r="B455" s="77">
        <v>2071885.5145930774</v>
      </c>
      <c r="C455" s="77">
        <v>294989.88550476334</v>
      </c>
    </row>
    <row r="456" spans="1:3" x14ac:dyDescent="0.3">
      <c r="A456">
        <f t="shared" si="7"/>
        <v>455</v>
      </c>
      <c r="B456" s="77">
        <v>2316205.5874502985</v>
      </c>
      <c r="C456" s="77">
        <v>329775.5673443423</v>
      </c>
    </row>
    <row r="457" spans="1:3" x14ac:dyDescent="0.3">
      <c r="A457">
        <f t="shared" si="7"/>
        <v>456</v>
      </c>
      <c r="B457" s="77">
        <v>2449049.5143758631</v>
      </c>
      <c r="C457" s="77">
        <v>348689.55391250073</v>
      </c>
    </row>
    <row r="458" spans="1:3" x14ac:dyDescent="0.3">
      <c r="A458">
        <f t="shared" si="7"/>
        <v>457</v>
      </c>
      <c r="B458" s="77">
        <v>1980142.8247447363</v>
      </c>
      <c r="C458" s="77">
        <v>281927.79043066537</v>
      </c>
    </row>
    <row r="459" spans="1:3" x14ac:dyDescent="0.3">
      <c r="A459">
        <f t="shared" si="7"/>
        <v>458</v>
      </c>
      <c r="B459" s="77">
        <v>2375733.1786936461</v>
      </c>
      <c r="C459" s="77">
        <v>338250.95712894551</v>
      </c>
    </row>
    <row r="460" spans="1:3" x14ac:dyDescent="0.3">
      <c r="A460">
        <f t="shared" si="7"/>
        <v>459</v>
      </c>
      <c r="B460" s="77">
        <v>1915224.3452634718</v>
      </c>
      <c r="C460" s="77">
        <v>272684.85944126529</v>
      </c>
    </row>
    <row r="461" spans="1:3" x14ac:dyDescent="0.3">
      <c r="A461">
        <f t="shared" si="7"/>
        <v>460</v>
      </c>
      <c r="B461" s="77">
        <v>2335023.3184091724</v>
      </c>
      <c r="C461" s="77">
        <v>332454.78888526221</v>
      </c>
    </row>
    <row r="462" spans="1:3" x14ac:dyDescent="0.3">
      <c r="A462">
        <f t="shared" si="7"/>
        <v>461</v>
      </c>
      <c r="B462" s="77">
        <v>2356812.1761134658</v>
      </c>
      <c r="C462" s="77">
        <v>335557.03203248134</v>
      </c>
    </row>
    <row r="463" spans="1:3" x14ac:dyDescent="0.3">
      <c r="A463">
        <f t="shared" si="7"/>
        <v>462</v>
      </c>
      <c r="B463" s="77">
        <v>2517344.7378509459</v>
      </c>
      <c r="C463" s="77">
        <v>358413.25727909029</v>
      </c>
    </row>
    <row r="464" spans="1:3" x14ac:dyDescent="0.3">
      <c r="A464">
        <f t="shared" si="7"/>
        <v>463</v>
      </c>
      <c r="B464" s="77">
        <v>2240893.6948503181</v>
      </c>
      <c r="C464" s="77">
        <v>319052.8481502856</v>
      </c>
    </row>
    <row r="465" spans="1:3" x14ac:dyDescent="0.3">
      <c r="A465">
        <f t="shared" si="7"/>
        <v>464</v>
      </c>
      <c r="B465" s="77">
        <v>2154683.6029135939</v>
      </c>
      <c r="C465" s="77">
        <v>306778.47055043827</v>
      </c>
    </row>
    <row r="466" spans="1:3" x14ac:dyDescent="0.3">
      <c r="A466">
        <f t="shared" si="7"/>
        <v>465</v>
      </c>
      <c r="B466" s="77">
        <v>2712147.7412030301</v>
      </c>
      <c r="C466" s="77">
        <v>386148.82242015045</v>
      </c>
    </row>
    <row r="467" spans="1:3" x14ac:dyDescent="0.3">
      <c r="A467">
        <f t="shared" si="7"/>
        <v>466</v>
      </c>
      <c r="B467" s="77">
        <v>2707805.6266182009</v>
      </c>
      <c r="C467" s="77">
        <v>385530.60298900644</v>
      </c>
    </row>
    <row r="468" spans="1:3" x14ac:dyDescent="0.3">
      <c r="A468">
        <f t="shared" si="7"/>
        <v>467</v>
      </c>
      <c r="B468" s="77">
        <v>1639688.7032600213</v>
      </c>
      <c r="C468" s="77">
        <v>233454.78282043283</v>
      </c>
    </row>
    <row r="469" spans="1:3" x14ac:dyDescent="0.3">
      <c r="A469">
        <f t="shared" si="7"/>
        <v>468</v>
      </c>
      <c r="B469" s="77">
        <v>2803617.6983165313</v>
      </c>
      <c r="C469" s="77">
        <v>399172.08648854995</v>
      </c>
    </row>
    <row r="470" spans="1:3" x14ac:dyDescent="0.3">
      <c r="A470">
        <f t="shared" si="7"/>
        <v>469</v>
      </c>
      <c r="B470" s="77">
        <v>1877534.5910705896</v>
      </c>
      <c r="C470" s="77">
        <v>267318.6863608745</v>
      </c>
    </row>
    <row r="471" spans="1:3" x14ac:dyDescent="0.3">
      <c r="A471">
        <f t="shared" si="7"/>
        <v>470</v>
      </c>
      <c r="B471" s="77">
        <v>2449726.2479099063</v>
      </c>
      <c r="C471" s="77">
        <v>348785.90554308967</v>
      </c>
    </row>
    <row r="472" spans="1:3" x14ac:dyDescent="0.3">
      <c r="A472">
        <f t="shared" si="7"/>
        <v>471</v>
      </c>
      <c r="B472" s="77">
        <v>2515013.764945379</v>
      </c>
      <c r="C472" s="77">
        <v>358081.37917787052</v>
      </c>
    </row>
    <row r="473" spans="1:3" x14ac:dyDescent="0.3">
      <c r="A473">
        <f t="shared" si="7"/>
        <v>472</v>
      </c>
      <c r="B473" s="77">
        <v>2672778.9910774794</v>
      </c>
      <c r="C473" s="77">
        <v>380543.59809177695</v>
      </c>
    </row>
    <row r="474" spans="1:3" x14ac:dyDescent="0.3">
      <c r="A474">
        <f t="shared" si="7"/>
        <v>473</v>
      </c>
      <c r="B474" s="77">
        <v>2291466.1434856229</v>
      </c>
      <c r="C474" s="77">
        <v>326253.22709378815</v>
      </c>
    </row>
    <row r="475" spans="1:3" x14ac:dyDescent="0.3">
      <c r="A475">
        <f t="shared" si="7"/>
        <v>474</v>
      </c>
      <c r="B475" s="77">
        <v>1951740.0671351091</v>
      </c>
      <c r="C475" s="77">
        <v>277883.876731636</v>
      </c>
    </row>
    <row r="476" spans="1:3" x14ac:dyDescent="0.3">
      <c r="A476">
        <f t="shared" si="7"/>
        <v>475</v>
      </c>
      <c r="B476" s="77">
        <v>2478524.0969376313</v>
      </c>
      <c r="C476" s="77">
        <v>352886.07137157681</v>
      </c>
    </row>
    <row r="477" spans="1:3" x14ac:dyDescent="0.3">
      <c r="A477">
        <f t="shared" si="7"/>
        <v>476</v>
      </c>
      <c r="B477" s="77">
        <v>2743033.1701356363</v>
      </c>
      <c r="C477" s="77">
        <v>390546.21266223851</v>
      </c>
    </row>
    <row r="478" spans="1:3" x14ac:dyDescent="0.3">
      <c r="A478">
        <f t="shared" si="7"/>
        <v>477</v>
      </c>
      <c r="B478" s="77">
        <v>2349947.2270041094</v>
      </c>
      <c r="C478" s="77">
        <v>334579.61772194074</v>
      </c>
    </row>
    <row r="479" spans="1:3" x14ac:dyDescent="0.3">
      <c r="A479">
        <f t="shared" si="7"/>
        <v>478</v>
      </c>
      <c r="B479" s="77">
        <v>2720827.2334143301</v>
      </c>
      <c r="C479" s="77">
        <v>387384.58684613701</v>
      </c>
    </row>
    <row r="480" spans="1:3" x14ac:dyDescent="0.3">
      <c r="A480">
        <f t="shared" si="7"/>
        <v>479</v>
      </c>
      <c r="B480" s="77">
        <v>2193327.9907957255</v>
      </c>
      <c r="C480" s="77">
        <v>312280.56199152378</v>
      </c>
    </row>
    <row r="481" spans="1:3" x14ac:dyDescent="0.3">
      <c r="A481">
        <f t="shared" si="7"/>
        <v>480</v>
      </c>
      <c r="B481" s="77">
        <v>2428482.1002592202</v>
      </c>
      <c r="C481" s="77">
        <v>345761.21685301355</v>
      </c>
    </row>
    <row r="482" spans="1:3" x14ac:dyDescent="0.3">
      <c r="A482">
        <f t="shared" si="7"/>
        <v>481</v>
      </c>
      <c r="B482" s="77">
        <v>2285197.2009984395</v>
      </c>
      <c r="C482" s="77">
        <v>325360.67071772151</v>
      </c>
    </row>
    <row r="483" spans="1:3" x14ac:dyDescent="0.3">
      <c r="A483">
        <f t="shared" si="7"/>
        <v>482</v>
      </c>
      <c r="B483" s="77">
        <v>2333652.2378988126</v>
      </c>
      <c r="C483" s="77">
        <v>332259.57786615897</v>
      </c>
    </row>
    <row r="484" spans="1:3" x14ac:dyDescent="0.3">
      <c r="A484">
        <f t="shared" si="7"/>
        <v>483</v>
      </c>
      <c r="B484" s="77">
        <v>2563020.1755766482</v>
      </c>
      <c r="C484" s="77">
        <v>364916.41203845502</v>
      </c>
    </row>
    <row r="485" spans="1:3" x14ac:dyDescent="0.3">
      <c r="A485">
        <f t="shared" si="7"/>
        <v>484</v>
      </c>
      <c r="B485" s="77">
        <v>2602680.3593657031</v>
      </c>
      <c r="C485" s="77">
        <v>370563.12996404897</v>
      </c>
    </row>
    <row r="486" spans="1:3" x14ac:dyDescent="0.3">
      <c r="A486">
        <f t="shared" si="7"/>
        <v>485</v>
      </c>
      <c r="B486" s="77">
        <v>2123136.5957345604</v>
      </c>
      <c r="C486" s="77">
        <v>302286.88644976524</v>
      </c>
    </row>
    <row r="487" spans="1:3" x14ac:dyDescent="0.3">
      <c r="A487">
        <f t="shared" si="7"/>
        <v>486</v>
      </c>
      <c r="B487" s="77">
        <v>2911067.4822157873</v>
      </c>
      <c r="C487" s="77">
        <v>414470.51838872099</v>
      </c>
    </row>
    <row r="488" spans="1:3" x14ac:dyDescent="0.3">
      <c r="A488">
        <f t="shared" si="7"/>
        <v>487</v>
      </c>
      <c r="B488" s="77">
        <v>2061821.6497981241</v>
      </c>
      <c r="C488" s="77">
        <v>293557.01756747207</v>
      </c>
    </row>
    <row r="489" spans="1:3" x14ac:dyDescent="0.3">
      <c r="A489">
        <f t="shared" si="7"/>
        <v>488</v>
      </c>
      <c r="B489" s="77">
        <v>2184395.9634732017</v>
      </c>
      <c r="C489" s="77">
        <v>311008.84224705031</v>
      </c>
    </row>
    <row r="490" spans="1:3" x14ac:dyDescent="0.3">
      <c r="A490">
        <f t="shared" si="7"/>
        <v>489</v>
      </c>
      <c r="B490" s="77">
        <v>1930165.6386240784</v>
      </c>
      <c r="C490" s="77">
        <v>274812.16347746539</v>
      </c>
    </row>
    <row r="491" spans="1:3" x14ac:dyDescent="0.3">
      <c r="A491">
        <f t="shared" si="7"/>
        <v>490</v>
      </c>
      <c r="B491" s="77">
        <v>2235256.1200547605</v>
      </c>
      <c r="C491" s="77">
        <v>318250.18432945537</v>
      </c>
    </row>
    <row r="492" spans="1:3" x14ac:dyDescent="0.3">
      <c r="A492">
        <f t="shared" si="7"/>
        <v>491</v>
      </c>
      <c r="B492" s="77">
        <v>2212541.2832818907</v>
      </c>
      <c r="C492" s="77">
        <v>315016.10259487445</v>
      </c>
    </row>
    <row r="493" spans="1:3" x14ac:dyDescent="0.3">
      <c r="A493">
        <f t="shared" si="7"/>
        <v>492</v>
      </c>
      <c r="B493" s="77">
        <v>2293440.5875641643</v>
      </c>
      <c r="C493" s="77">
        <v>326534.34351096576</v>
      </c>
    </row>
    <row r="494" spans="1:3" x14ac:dyDescent="0.3">
      <c r="A494">
        <f t="shared" si="7"/>
        <v>493</v>
      </c>
      <c r="B494" s="77">
        <v>2570926.7095751446</v>
      </c>
      <c r="C494" s="77">
        <v>366042.12460438994</v>
      </c>
    </row>
    <row r="495" spans="1:3" x14ac:dyDescent="0.3">
      <c r="A495">
        <f t="shared" si="7"/>
        <v>494</v>
      </c>
      <c r="B495" s="77">
        <v>2564226.2173743597</v>
      </c>
      <c r="C495" s="77">
        <v>365088.125257798</v>
      </c>
    </row>
    <row r="496" spans="1:3" x14ac:dyDescent="0.3">
      <c r="A496">
        <f t="shared" si="7"/>
        <v>495</v>
      </c>
      <c r="B496" s="77">
        <v>2546877.0188691607</v>
      </c>
      <c r="C496" s="77">
        <v>362617.9897003065</v>
      </c>
    </row>
    <row r="497" spans="1:3" x14ac:dyDescent="0.3">
      <c r="A497">
        <f t="shared" si="7"/>
        <v>496</v>
      </c>
      <c r="B497" s="77">
        <v>2327035.7581863324</v>
      </c>
      <c r="C497" s="77">
        <v>331317.54000784975</v>
      </c>
    </row>
    <row r="498" spans="1:3" x14ac:dyDescent="0.3">
      <c r="A498">
        <f t="shared" si="7"/>
        <v>497</v>
      </c>
      <c r="B498" s="77">
        <v>2316875.5675643831</v>
      </c>
      <c r="C498" s="77">
        <v>329870.95743986266</v>
      </c>
    </row>
    <row r="499" spans="1:3" x14ac:dyDescent="0.3">
      <c r="A499">
        <f t="shared" si="7"/>
        <v>498</v>
      </c>
      <c r="B499" s="77">
        <v>2874741.8230581838</v>
      </c>
      <c r="C499" s="77">
        <v>409298.56175293599</v>
      </c>
    </row>
    <row r="500" spans="1:3" x14ac:dyDescent="0.3">
      <c r="A500">
        <f t="shared" si="7"/>
        <v>499</v>
      </c>
      <c r="B500" s="77">
        <v>2315729.2490675738</v>
      </c>
      <c r="C500" s="77">
        <v>329707.74747495673</v>
      </c>
    </row>
    <row r="501" spans="1:3" x14ac:dyDescent="0.3">
      <c r="A501">
        <f t="shared" si="7"/>
        <v>500</v>
      </c>
      <c r="B501" s="77">
        <v>1883834.469183862</v>
      </c>
      <c r="C501" s="77">
        <v>268215.64727412898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Stochastic</vt:lpstr>
      <vt:lpstr>Sensitivity_Analysis</vt:lpstr>
      <vt:lpstr>Monte_Carlo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Tridib Banik</dc:creator>
  <cp:lastModifiedBy>Tridib Banik</cp:lastModifiedBy>
  <cp:lastPrinted>2026-03-18T00:28:47Z</cp:lastPrinted>
  <dcterms:created xsi:type="dcterms:W3CDTF">2026-03-16T02:21:28Z</dcterms:created>
  <dcterms:modified xsi:type="dcterms:W3CDTF">2026-03-19T00:28:18Z</dcterms:modified>
</cp:coreProperties>
</file>