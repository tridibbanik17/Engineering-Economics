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69A3D19F-42FC-4B12-BEE8-843FC5647C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sitivity_Analysis" sheetId="1" r:id="rId1"/>
    <sheet name="Stochastic" sheetId="2" r:id="rId2"/>
    <sheet name="Monte_Carlo_Simulation" sheetId="3" r:id="rId3"/>
  </sheets>
  <definedNames>
    <definedName name="_xlchart.v1.0" hidden="1">Monte_Carlo_Simulation!$B$2</definedName>
    <definedName name="_xlchart.v1.1" hidden="1">Monte_Carlo_Simulation!$B$3:$B$501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4" i="2" l="1"/>
  <c r="U5" i="2"/>
  <c r="U6" i="2"/>
  <c r="U7" i="2"/>
  <c r="U8" i="2"/>
  <c r="U9" i="2"/>
  <c r="U10" i="2"/>
  <c r="U11" i="2"/>
  <c r="U12" i="2"/>
  <c r="U4" i="2"/>
  <c r="T5" i="2"/>
  <c r="T6" i="2"/>
  <c r="T7" i="2"/>
  <c r="T8" i="2"/>
  <c r="T9" i="2"/>
  <c r="T10" i="2"/>
  <c r="T11" i="2"/>
  <c r="T12" i="2"/>
  <c r="T4" i="2"/>
  <c r="AB12" i="2" l="1"/>
  <c r="P12" i="2" s="1"/>
  <c r="AA12" i="2"/>
  <c r="N12" i="2" s="1"/>
  <c r="Z12" i="2"/>
  <c r="L12" i="2" s="1"/>
  <c r="Y12" i="2"/>
  <c r="S12" i="2"/>
  <c r="R12" i="2"/>
  <c r="Q12" i="2"/>
  <c r="O12" i="2"/>
  <c r="M12" i="2"/>
  <c r="K12" i="2"/>
  <c r="J12" i="2"/>
  <c r="I12" i="2"/>
  <c r="H12" i="2"/>
  <c r="G12" i="2"/>
  <c r="AB11" i="2"/>
  <c r="P11" i="2" s="1"/>
  <c r="AA11" i="2"/>
  <c r="N11" i="2" s="1"/>
  <c r="Z11" i="2"/>
  <c r="L11" i="2" s="1"/>
  <c r="Y11" i="2"/>
  <c r="S11" i="2"/>
  <c r="R11" i="2"/>
  <c r="Q11" i="2"/>
  <c r="O11" i="2"/>
  <c r="M11" i="2"/>
  <c r="K11" i="2"/>
  <c r="J11" i="2"/>
  <c r="I11" i="2"/>
  <c r="H11" i="2"/>
  <c r="G11" i="2"/>
  <c r="AB10" i="2"/>
  <c r="P10" i="2" s="1"/>
  <c r="AA10" i="2"/>
  <c r="N10" i="2" s="1"/>
  <c r="Z10" i="2"/>
  <c r="L10" i="2" s="1"/>
  <c r="Y10" i="2"/>
  <c r="S10" i="2"/>
  <c r="R10" i="2"/>
  <c r="Q10" i="2"/>
  <c r="O10" i="2"/>
  <c r="M10" i="2"/>
  <c r="K10" i="2"/>
  <c r="J10" i="2"/>
  <c r="I10" i="2"/>
  <c r="H10" i="2"/>
  <c r="G10" i="2"/>
  <c r="AB9" i="2"/>
  <c r="P9" i="2" s="1"/>
  <c r="AA9" i="2"/>
  <c r="N9" i="2" s="1"/>
  <c r="Z9" i="2"/>
  <c r="L9" i="2" s="1"/>
  <c r="Y9" i="2"/>
  <c r="S9" i="2"/>
  <c r="R9" i="2"/>
  <c r="Q9" i="2"/>
  <c r="O9" i="2"/>
  <c r="M9" i="2"/>
  <c r="K9" i="2"/>
  <c r="J9" i="2"/>
  <c r="I9" i="2"/>
  <c r="H9" i="2"/>
  <c r="G9" i="2"/>
  <c r="AB8" i="2"/>
  <c r="P8" i="2" s="1"/>
  <c r="AA8" i="2"/>
  <c r="N8" i="2" s="1"/>
  <c r="Z8" i="2"/>
  <c r="L8" i="2" s="1"/>
  <c r="Y8" i="2"/>
  <c r="S8" i="2"/>
  <c r="R8" i="2"/>
  <c r="Q8" i="2"/>
  <c r="O8" i="2"/>
  <c r="M8" i="2"/>
  <c r="K8" i="2"/>
  <c r="J8" i="2"/>
  <c r="I8" i="2"/>
  <c r="H8" i="2"/>
  <c r="G8" i="2"/>
  <c r="AB7" i="2"/>
  <c r="P7" i="2" s="1"/>
  <c r="AA7" i="2"/>
  <c r="N7" i="2" s="1"/>
  <c r="Z7" i="2"/>
  <c r="L7" i="2" s="1"/>
  <c r="Y7" i="2"/>
  <c r="S7" i="2"/>
  <c r="R7" i="2"/>
  <c r="Q7" i="2"/>
  <c r="O7" i="2"/>
  <c r="M7" i="2"/>
  <c r="K7" i="2"/>
  <c r="J7" i="2"/>
  <c r="I7" i="2"/>
  <c r="H7" i="2"/>
  <c r="G7" i="2"/>
  <c r="AB6" i="2"/>
  <c r="P6" i="2" s="1"/>
  <c r="AA6" i="2"/>
  <c r="N6" i="2" s="1"/>
  <c r="Z6" i="2"/>
  <c r="L6" i="2" s="1"/>
  <c r="Y6" i="2"/>
  <c r="S6" i="2"/>
  <c r="R6" i="2"/>
  <c r="Q6" i="2"/>
  <c r="O6" i="2"/>
  <c r="M6" i="2"/>
  <c r="K6" i="2"/>
  <c r="J6" i="2"/>
  <c r="I6" i="2"/>
  <c r="H6" i="2"/>
  <c r="G6" i="2"/>
  <c r="AB5" i="2"/>
  <c r="P5" i="2" s="1"/>
  <c r="AA5" i="2"/>
  <c r="N5" i="2" s="1"/>
  <c r="Z5" i="2"/>
  <c r="L5" i="2" s="1"/>
  <c r="Y5" i="2"/>
  <c r="S5" i="2"/>
  <c r="R5" i="2"/>
  <c r="Q5" i="2"/>
  <c r="O5" i="2"/>
  <c r="M5" i="2"/>
  <c r="K5" i="2"/>
  <c r="J5" i="2"/>
  <c r="I5" i="2"/>
  <c r="H5" i="2"/>
  <c r="G5" i="2"/>
  <c r="AB4" i="2"/>
  <c r="P4" i="2" s="1"/>
  <c r="AA4" i="2"/>
  <c r="N4" i="2" s="1"/>
  <c r="Z4" i="2"/>
  <c r="L4" i="2" s="1"/>
  <c r="Y4" i="2"/>
  <c r="S4" i="2"/>
  <c r="R4" i="2"/>
  <c r="Q4" i="2"/>
  <c r="O4" i="2"/>
  <c r="M4" i="2"/>
  <c r="K4" i="2"/>
  <c r="J4" i="2"/>
  <c r="I4" i="2"/>
  <c r="H4" i="2"/>
  <c r="G4" i="2"/>
  <c r="AB3" i="2"/>
  <c r="P3" i="2" s="1"/>
  <c r="AA3" i="2"/>
  <c r="N3" i="2" s="1"/>
  <c r="Z3" i="2"/>
  <c r="L3" i="2" s="1"/>
  <c r="Y3" i="2"/>
  <c r="Q3" i="2"/>
  <c r="O3" i="2"/>
  <c r="M3" i="2"/>
  <c r="K3" i="2"/>
  <c r="J3" i="2"/>
  <c r="I3" i="2"/>
  <c r="H3" i="2"/>
  <c r="G3" i="2"/>
  <c r="E3" i="2"/>
  <c r="D3" i="2"/>
  <c r="C3" i="2"/>
  <c r="W5" i="2" l="1"/>
  <c r="W11" i="2"/>
  <c r="W9" i="2"/>
  <c r="W4" i="2"/>
  <c r="W6" i="2"/>
  <c r="W3" i="2"/>
  <c r="W10" i="2"/>
  <c r="W12" i="2"/>
  <c r="W7" i="2"/>
  <c r="W8" i="2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W13" i="2" l="1"/>
  <c r="W14" i="2" l="1"/>
  <c r="C2" i="3" s="1"/>
  <c r="B2" i="3"/>
  <c r="K3" i="3" l="1"/>
  <c r="K2" i="3"/>
  <c r="K4" i="3"/>
  <c r="L3" i="3"/>
  <c r="L2" i="3"/>
  <c r="L4" i="3"/>
  <c r="K6" i="3" l="1"/>
  <c r="K5" i="3"/>
  <c r="L5" i="3"/>
  <c r="L6" i="3"/>
  <c r="K33" i="1" l="1"/>
  <c r="K34" i="1"/>
  <c r="K35" i="1"/>
  <c r="K32" i="1"/>
  <c r="K28" i="1"/>
  <c r="K29" i="1"/>
  <c r="K30" i="1"/>
  <c r="K27" i="1"/>
  <c r="M33" i="1"/>
  <c r="M34" i="1"/>
  <c r="M35" i="1"/>
  <c r="M32" i="1"/>
  <c r="M28" i="1"/>
  <c r="M29" i="1"/>
  <c r="M30" i="1"/>
  <c r="M27" i="1"/>
  <c r="I33" i="1"/>
  <c r="I34" i="1"/>
  <c r="I35" i="1"/>
  <c r="I32" i="1"/>
  <c r="I28" i="1"/>
  <c r="I29" i="1"/>
  <c r="I30" i="1"/>
  <c r="I27" i="1"/>
  <c r="G34" i="1"/>
  <c r="G35" i="1"/>
  <c r="G33" i="1"/>
  <c r="G32" i="1"/>
  <c r="G30" i="1"/>
  <c r="G29" i="1"/>
  <c r="G28" i="1"/>
  <c r="G27" i="1"/>
</calcChain>
</file>

<file path=xl/sharedStrings.xml><?xml version="1.0" encoding="utf-8"?>
<sst xmlns="http://schemas.openxmlformats.org/spreadsheetml/2006/main" count="157" uniqueCount="114">
  <si>
    <t>Year</t>
  </si>
  <si>
    <t>CapEx (Real)</t>
  </si>
  <si>
    <t>OpEx (Real)</t>
  </si>
  <si>
    <t>Monetized benefits (Real)</t>
  </si>
  <si>
    <t>Net cash flow (Nominal)</t>
  </si>
  <si>
    <t>PW</t>
  </si>
  <si>
    <t>AW</t>
  </si>
  <si>
    <t>Design Parameter</t>
  </si>
  <si>
    <t>Value</t>
  </si>
  <si>
    <t>Unit</t>
  </si>
  <si>
    <t>Associated Risk</t>
  </si>
  <si>
    <t>Number of Security Cameras</t>
  </si>
  <si>
    <t>Cameras</t>
  </si>
  <si>
    <t>Hardware Failure</t>
  </si>
  <si>
    <t>Expected Downtime</t>
  </si>
  <si>
    <t>hrs/yr</t>
  </si>
  <si>
    <t>Uncertainty in Certification of System</t>
  </si>
  <si>
    <t>Server Processing Capacity</t>
  </si>
  <si>
    <t>kWh/TB</t>
  </si>
  <si>
    <t>Operating Cost</t>
  </si>
  <si>
    <t>Continous Operation Costs</t>
  </si>
  <si>
    <t>kWh/month</t>
  </si>
  <si>
    <t>Spider Plot</t>
  </si>
  <si>
    <t>Inflation</t>
  </si>
  <si>
    <t>Nominal Discount Rate</t>
  </si>
  <si>
    <t>Base case</t>
  </si>
  <si>
    <t>Conversion factors</t>
  </si>
  <si>
    <t>Electricity Cost</t>
  </si>
  <si>
    <t>$/kWh</t>
  </si>
  <si>
    <t>Camera cost</t>
  </si>
  <si>
    <t>$/camera</t>
  </si>
  <si>
    <t>Server Cost</t>
  </si>
  <si>
    <t>TB/day</t>
  </si>
  <si>
    <t>Downtime</t>
  </si>
  <si>
    <t>$/hr</t>
  </si>
  <si>
    <t>CapEx</t>
  </si>
  <si>
    <t>OpEx</t>
  </si>
  <si>
    <t>Benefits</t>
  </si>
  <si>
    <t>Stochastic terms (press F9 to refresh):</t>
  </si>
  <si>
    <t>Camera, Sensor, Security-Related Device Maintenance</t>
  </si>
  <si>
    <t>Additional Operating Cost from Cloud and Energy Use</t>
  </si>
  <si>
    <t>Additional Cost for Certification of Cybersecurity for Whole System</t>
  </si>
  <si>
    <t>Additional Cost for Updating Cybersecurity</t>
  </si>
  <si>
    <t>Additional Cost for Hardware Failure/Need for Immediate Maintenance</t>
  </si>
  <si>
    <t>N+1 redundacy for hardware</t>
  </si>
  <si>
    <t>Eliminated Patrol Salary</t>
  </si>
  <si>
    <t>Expected Value of Avoided Downtime</t>
  </si>
  <si>
    <t>Reference PW</t>
  </si>
  <si>
    <t>Reference AW</t>
  </si>
  <si>
    <t>Design Parameters</t>
  </si>
  <si>
    <t>Converstion Factors</t>
  </si>
  <si>
    <t>Number of Cameras</t>
  </si>
  <si>
    <t>#</t>
  </si>
  <si>
    <t>$/hour</t>
  </si>
  <si>
    <t>kWh per TB</t>
  </si>
  <si>
    <t>$ per kWh</t>
  </si>
  <si>
    <t>$</t>
  </si>
  <si>
    <t>$/year</t>
  </si>
  <si>
    <t>Risks</t>
  </si>
  <si>
    <t>Likeliness (%/year)</t>
  </si>
  <si>
    <t>Impact</t>
  </si>
  <si>
    <t>Implement?</t>
  </si>
  <si>
    <t>Risk Mitigation</t>
  </si>
  <si>
    <t>Cost</t>
  </si>
  <si>
    <t>Benefit</t>
  </si>
  <si>
    <t>Note: This assumes that certification of cybersecurity system takes place annually.</t>
  </si>
  <si>
    <t>Power Electronics &amp; Storage</t>
  </si>
  <si>
    <t>High-Voltage Testing Hours</t>
  </si>
  <si>
    <t>Server Processing Capacity (Thermal Dissipation)</t>
  </si>
  <si>
    <t>$/module</t>
  </si>
  <si>
    <t>Power Module Unit Cost (Cameras + Biometric Scanner)</t>
  </si>
  <si>
    <t>Hardware Maintenance</t>
  </si>
  <si>
    <t>Pessimistic Elec Engineer Salary</t>
  </si>
  <si>
    <t>Most Likely Elec Engineer Salary</t>
  </si>
  <si>
    <t>Optimistic Elec Engineer Salary</t>
  </si>
  <si>
    <t>Safety Certification Reduction</t>
  </si>
  <si>
    <t>%</t>
  </si>
  <si>
    <t>Critical Fault Probability</t>
  </si>
  <si>
    <t>#/yr</t>
  </si>
  <si>
    <t>Efficiency Savings Pool</t>
  </si>
  <si>
    <t>System Uptime Productivity</t>
  </si>
  <si>
    <t>Run</t>
  </si>
  <si>
    <t>Mean</t>
  </si>
  <si>
    <t>Stdev</t>
  </si>
  <si>
    <t>Probability Value&gt;0:</t>
  </si>
  <si>
    <t>Confidence Interval Upper</t>
  </si>
  <si>
    <t>Confidence Interval Lower</t>
  </si>
  <si>
    <t>Power Modules</t>
  </si>
  <si>
    <t>Wiring</t>
  </si>
  <si>
    <t>Salary of Systems Engineer</t>
  </si>
  <si>
    <t>Energy Costs</t>
  </si>
  <si>
    <t>Power Consumption Variability Management</t>
  </si>
  <si>
    <t>Operating Cost Variability</t>
  </si>
  <si>
    <t>Electrical Safety Certification &amp; Compliance</t>
  </si>
  <si>
    <t>High-Voltage Testing &amp; Validation</t>
  </si>
  <si>
    <t>Firmware &amp; Embedded Systems Maintenance</t>
  </si>
  <si>
    <t>Preventive Maintenance &amp; Diagnostics</t>
  </si>
  <si>
    <t>Reduced Equipment Failure Costs</t>
  </si>
  <si>
    <t>Improved System Reliability</t>
  </si>
  <si>
    <t>Increased System Uptime</t>
  </si>
  <si>
    <t>Field Technician/Security Rate</t>
  </si>
  <si>
    <t>High-Voltage Testing Rates</t>
  </si>
  <si>
    <t>Power Module Failure / Need for Immediate Maintenance</t>
  </si>
  <si>
    <t>Improved thermal design, heat sinks, and derating of components</t>
  </si>
  <si>
    <t>Reduces overheating and extends hardware lifespan</t>
  </si>
  <si>
    <t>Operating Cost Variability (energy + ongoing operations)</t>
  </si>
  <si>
    <t>Power optimization (efficient regulators, load scheduling)</t>
  </si>
  <si>
    <t>Reduces operational energy costs tied to 100 kWh/month usage</t>
  </si>
  <si>
    <t>Uncertainty in Time for Certification of Whole System (High Voltage Testing)</t>
  </si>
  <si>
    <t>Early compliance checks (CSA/UL), design reviews</t>
  </si>
  <si>
    <t>Minimizes risk of late-stage redesigns</t>
  </si>
  <si>
    <t>Server Power/Thermal Load Mismatch</t>
  </si>
  <si>
    <t>Load balancing and improved cooling for 72 kWh/TB processing</t>
  </si>
  <si>
    <t>Prevents performance throttling and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</si>
</sst>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#,##0_ ;[Red]\-#,##0\ "/>
    <numFmt numFmtId="167" formatCode="&quot;$&quot;#,##0.00"/>
  </numFmts>
  <fonts count="1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Aptos Narrow"/>
      <family val="2"/>
    </font>
    <font>
      <i/>
      <sz val="8"/>
      <color rgb="FF000000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 Narrow"/>
      <family val="2"/>
    </font>
    <font>
      <sz val="11"/>
      <name val="Calibri"/>
      <family val="2"/>
    </font>
    <font>
      <b/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E8E8E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8" fillId="0" borderId="0" applyFont="0" applyFill="0" applyBorder="0" applyAlignment="0" applyProtection="0"/>
  </cellStyleXfs>
  <cellXfs count="80">
    <xf numFmtId="0" fontId="0" fillId="0" borderId="0" xfId="0"/>
    <xf numFmtId="164" fontId="2" fillId="2" borderId="1" xfId="0" applyNumberFormat="1" applyFont="1" applyFill="1" applyBorder="1"/>
    <xf numFmtId="164" fontId="2" fillId="2" borderId="3" xfId="0" applyNumberFormat="1" applyFont="1" applyFill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8" fontId="0" fillId="0" borderId="1" xfId="0" applyNumberFormat="1" applyBorder="1"/>
    <xf numFmtId="9" fontId="4" fillId="0" borderId="1" xfId="0" applyNumberFormat="1" applyFont="1" applyBorder="1"/>
    <xf numFmtId="0" fontId="5" fillId="3" borderId="1" xfId="0" applyFont="1" applyFill="1" applyBorder="1" applyAlignment="1">
      <alignment horizontal="left" vertical="center" wrapText="1"/>
    </xf>
    <xf numFmtId="0" fontId="0" fillId="0" borderId="5" xfId="0" applyBorder="1"/>
    <xf numFmtId="0" fontId="6" fillId="0" borderId="1" xfId="0" applyFont="1" applyBorder="1"/>
    <xf numFmtId="0" fontId="0" fillId="0" borderId="5" xfId="0" applyBorder="1" applyAlignment="1">
      <alignment horizontal="left" vertical="center"/>
    </xf>
    <xf numFmtId="10" fontId="0" fillId="0" borderId="1" xfId="0" applyNumberFormat="1" applyBorder="1"/>
    <xf numFmtId="9" fontId="0" fillId="0" borderId="1" xfId="0" applyNumberFormat="1" applyBorder="1"/>
    <xf numFmtId="166" fontId="0" fillId="0" borderId="0" xfId="0" applyNumberFormat="1"/>
    <xf numFmtId="0" fontId="7" fillId="0" borderId="8" xfId="0" applyFont="1" applyBorder="1"/>
    <xf numFmtId="0" fontId="7" fillId="0" borderId="3" xfId="0" applyFont="1" applyBorder="1"/>
    <xf numFmtId="0" fontId="7" fillId="0" borderId="4" xfId="0" applyFont="1" applyBorder="1"/>
    <xf numFmtId="38" fontId="0" fillId="0" borderId="1" xfId="0" applyNumberFormat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5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167" fontId="9" fillId="4" borderId="1" xfId="0" applyNumberFormat="1" applyFont="1" applyFill="1" applyBorder="1"/>
    <xf numFmtId="167" fontId="0" fillId="4" borderId="1" xfId="1" applyNumberFormat="1" applyFont="1" applyFill="1" applyBorder="1"/>
    <xf numFmtId="167" fontId="9" fillId="5" borderId="1" xfId="0" applyNumberFormat="1" applyFont="1" applyFill="1" applyBorder="1"/>
    <xf numFmtId="167" fontId="0" fillId="5" borderId="1" xfId="1" applyNumberFormat="1" applyFont="1" applyFill="1" applyBorder="1"/>
    <xf numFmtId="167" fontId="0" fillId="6" borderId="1" xfId="1" applyNumberFormat="1" applyFont="1" applyFill="1" applyBorder="1"/>
    <xf numFmtId="167" fontId="0" fillId="6" borderId="5" xfId="1" applyNumberFormat="1" applyFont="1" applyFill="1" applyBorder="1"/>
    <xf numFmtId="167" fontId="9" fillId="0" borderId="1" xfId="0" applyNumberFormat="1" applyFont="1" applyBorder="1"/>
    <xf numFmtId="167" fontId="0" fillId="0" borderId="1" xfId="0" applyNumberFormat="1" applyBorder="1"/>
    <xf numFmtId="167" fontId="0" fillId="6" borderId="1" xfId="0" applyNumberFormat="1" applyFill="1" applyBorder="1"/>
    <xf numFmtId="167" fontId="0" fillId="6" borderId="5" xfId="0" applyNumberFormat="1" applyFill="1" applyBorder="1"/>
    <xf numFmtId="167" fontId="10" fillId="0" borderId="1" xfId="0" applyNumberFormat="1" applyFont="1" applyBorder="1"/>
    <xf numFmtId="165" fontId="0" fillId="6" borderId="8" xfId="1" applyFont="1" applyFill="1" applyBorder="1"/>
    <xf numFmtId="8" fontId="0" fillId="5" borderId="1" xfId="0" applyNumberFormat="1" applyFill="1" applyBorder="1"/>
    <xf numFmtId="165" fontId="0" fillId="6" borderId="5" xfId="1" applyFont="1" applyFill="1" applyBorder="1"/>
    <xf numFmtId="8" fontId="0" fillId="5" borderId="1" xfId="1" applyNumberFormat="1" applyFont="1" applyFill="1" applyBorder="1" applyAlignment="1">
      <alignment horizontal="right" vertical="center" wrapText="1"/>
    </xf>
    <xf numFmtId="165" fontId="0" fillId="0" borderId="0" xfId="1" applyFont="1"/>
    <xf numFmtId="167" fontId="0" fillId="0" borderId="0" xfId="1" applyNumberFormat="1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7" fontId="0" fillId="0" borderId="1" xfId="1" applyNumberFormat="1" applyFont="1" applyBorder="1" applyAlignment="1">
      <alignment horizontal="center" wrapText="1"/>
    </xf>
    <xf numFmtId="9" fontId="0" fillId="0" borderId="1" xfId="0" applyNumberFormat="1" applyBorder="1" applyAlignment="1">
      <alignment horizontal="center" wrapText="1"/>
    </xf>
    <xf numFmtId="0" fontId="11" fillId="0" borderId="9" xfId="0" applyFont="1" applyBorder="1" applyAlignment="1">
      <alignment horizontal="left" vertical="top" wrapText="1"/>
    </xf>
    <xf numFmtId="0" fontId="12" fillId="0" borderId="0" xfId="0" applyFont="1"/>
    <xf numFmtId="167" fontId="0" fillId="0" borderId="0" xfId="0" applyNumberFormat="1"/>
    <xf numFmtId="8" fontId="12" fillId="0" borderId="0" xfId="0" applyNumberFormat="1" applyFont="1"/>
    <xf numFmtId="44" fontId="12" fillId="0" borderId="0" xfId="0" applyNumberFormat="1" applyFont="1"/>
    <xf numFmtId="167" fontId="12" fillId="0" borderId="0" xfId="1" applyNumberFormat="1" applyFont="1" applyFill="1" applyBorder="1"/>
    <xf numFmtId="10" fontId="10" fillId="0" borderId="0" xfId="0" applyNumberFormat="1" applyFont="1"/>
    <xf numFmtId="10" fontId="12" fillId="0" borderId="0" xfId="0" applyNumberFormat="1" applyFont="1"/>
    <xf numFmtId="0" fontId="11" fillId="5" borderId="9" xfId="0" applyFont="1" applyFill="1" applyBorder="1" applyAlignment="1">
      <alignment horizontal="left" wrapText="1"/>
    </xf>
    <xf numFmtId="0" fontId="2" fillId="0" borderId="1" xfId="0" applyFont="1" applyBorder="1"/>
    <xf numFmtId="0" fontId="11" fillId="0" borderId="0" xfId="0" applyFont="1" applyAlignment="1">
      <alignment horizontal="left" vertical="top" wrapText="1"/>
    </xf>
    <xf numFmtId="9" fontId="11" fillId="0" borderId="0" xfId="0" applyNumberFormat="1" applyFont="1" applyAlignment="1">
      <alignment horizontal="center" vertical="top" wrapText="1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9" fontId="11" fillId="0" borderId="1" xfId="0" applyNumberFormat="1" applyFont="1" applyBorder="1" applyAlignment="1">
      <alignment horizontal="left" vertical="top"/>
    </xf>
    <xf numFmtId="6" fontId="0" fillId="0" borderId="1" xfId="0" applyNumberFormat="1" applyBorder="1" applyAlignment="1">
      <alignment horizontal="left" vertical="top"/>
    </xf>
    <xf numFmtId="6" fontId="0" fillId="0" borderId="1" xfId="1" applyNumberFormat="1" applyFont="1" applyBorder="1" applyAlignment="1">
      <alignment horizontal="left" vertical="top"/>
    </xf>
    <xf numFmtId="6" fontId="0" fillId="0" borderId="1" xfId="0" applyNumberFormat="1" applyBorder="1" applyAlignment="1">
      <alignment horizontal="center" wrapText="1"/>
    </xf>
    <xf numFmtId="167" fontId="0" fillId="0" borderId="1" xfId="1" applyNumberFormat="1" applyFont="1" applyBorder="1" applyAlignment="1">
      <alignment horizontal="left" vertical="top"/>
    </xf>
    <xf numFmtId="9" fontId="0" fillId="0" borderId="1" xfId="0" applyNumberFormat="1" applyBorder="1" applyAlignment="1">
      <alignment horizontal="left" vertical="top" wrapText="1"/>
    </xf>
    <xf numFmtId="6" fontId="0" fillId="0" borderId="1" xfId="0" applyNumberFormat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4" fillId="4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0" fillId="0" borderId="10" xfId="0" applyBorder="1"/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Spider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Number of Security Cameras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Sensitivity_Analysis!$E$27:$E$35</c:f>
              <c:numCache>
                <c:formatCode>0%</c:formatCode>
                <c:ptCount val="9"/>
                <c:pt idx="0">
                  <c:v>-0.2</c:v>
                </c:pt>
                <c:pt idx="1">
                  <c:v>-0.15</c:v>
                </c:pt>
                <c:pt idx="2">
                  <c:v>-0.1</c:v>
                </c:pt>
                <c:pt idx="3">
                  <c:v>-0.05</c:v>
                </c:pt>
                <c:pt idx="4">
                  <c:v>0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</c:numCache>
            </c:numRef>
          </c:cat>
          <c:val>
            <c:numRef>
              <c:f>Sensitivity_Analysis!$G$27:$G$35</c:f>
              <c:numCache>
                <c:formatCode>General</c:formatCode>
                <c:ptCount val="9"/>
                <c:pt idx="0">
                  <c:v>396779.19</c:v>
                </c:pt>
                <c:pt idx="1">
                  <c:v>377579.19</c:v>
                </c:pt>
                <c:pt idx="2">
                  <c:v>358379.19</c:v>
                </c:pt>
                <c:pt idx="3">
                  <c:v>339179.19</c:v>
                </c:pt>
                <c:pt idx="4" formatCode="&quot;$&quot;#,##0.00_);[Red]\(&quot;$&quot;#,##0.00\)">
                  <c:v>319979.19</c:v>
                </c:pt>
                <c:pt idx="5">
                  <c:v>300779.19</c:v>
                </c:pt>
                <c:pt idx="6">
                  <c:v>281579.19</c:v>
                </c:pt>
                <c:pt idx="7">
                  <c:v>262379.19</c:v>
                </c:pt>
                <c:pt idx="8">
                  <c:v>243179.19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8FE-411F-86B4-03A326BFF2F6}"/>
            </c:ext>
          </c:extLst>
        </c:ser>
        <c:ser>
          <c:idx val="1"/>
          <c:order val="1"/>
          <c:tx>
            <c:v>Expected Downtime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Sensitivity_Analysis!$I$27:$I$35</c:f>
              <c:numCache>
                <c:formatCode>General</c:formatCode>
                <c:ptCount val="9"/>
                <c:pt idx="0">
                  <c:v>1179979.1900000002</c:v>
                </c:pt>
                <c:pt idx="1">
                  <c:v>964979.19000000018</c:v>
                </c:pt>
                <c:pt idx="2">
                  <c:v>749979.18999999971</c:v>
                </c:pt>
                <c:pt idx="3">
                  <c:v>534979.18999999983</c:v>
                </c:pt>
                <c:pt idx="4" formatCode="&quot;$&quot;#,##0.00_);[Red]\(&quot;$&quot;#,##0.00\)">
                  <c:v>319979.19</c:v>
                </c:pt>
                <c:pt idx="5">
                  <c:v>104979.19000000015</c:v>
                </c:pt>
                <c:pt idx="6">
                  <c:v>-110020.80999999971</c:v>
                </c:pt>
                <c:pt idx="7">
                  <c:v>-325020.81000000023</c:v>
                </c:pt>
                <c:pt idx="8">
                  <c:v>-540020.81000000006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FE-411F-86B4-03A326BFF2F6}"/>
            </c:ext>
          </c:extLst>
        </c:ser>
        <c:ser>
          <c:idx val="2"/>
          <c:order val="2"/>
          <c:tx>
            <c:v>Server Processing Capacity+Sensitivity_Analysis!$K$27:$K$35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Sensitivity_Analysis!$K$27:$K$35</c:f>
              <c:numCache>
                <c:formatCode>General</c:formatCode>
                <c:ptCount val="9"/>
                <c:pt idx="0">
                  <c:v>370436.79</c:v>
                </c:pt>
                <c:pt idx="1">
                  <c:v>357822.39</c:v>
                </c:pt>
                <c:pt idx="2">
                  <c:v>345207.99</c:v>
                </c:pt>
                <c:pt idx="3">
                  <c:v>332593.58999999997</c:v>
                </c:pt>
                <c:pt idx="4" formatCode="&quot;$&quot;#,##0.00_);[Red]\(&quot;$&quot;#,##0.00\)">
                  <c:v>319979.19</c:v>
                </c:pt>
                <c:pt idx="5">
                  <c:v>307364.79000000004</c:v>
                </c:pt>
                <c:pt idx="6">
                  <c:v>294750.39</c:v>
                </c:pt>
                <c:pt idx="7">
                  <c:v>282135.99</c:v>
                </c:pt>
                <c:pt idx="8">
                  <c:v>269521.58999999997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FE-411F-86B4-03A326BFF2F6}"/>
            </c:ext>
          </c:extLst>
        </c:ser>
        <c:ser>
          <c:idx val="3"/>
          <c:order val="3"/>
          <c:tx>
            <c:v>Continous Operation Cost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Sensitivity_Analysis!$M$27:$M$35</c:f>
              <c:numCache>
                <c:formatCode>General</c:formatCode>
                <c:ptCount val="9"/>
                <c:pt idx="0">
                  <c:v>320007.99</c:v>
                </c:pt>
                <c:pt idx="1">
                  <c:v>320000.78999999998</c:v>
                </c:pt>
                <c:pt idx="2">
                  <c:v>319993.59000000003</c:v>
                </c:pt>
                <c:pt idx="3">
                  <c:v>319986.39</c:v>
                </c:pt>
                <c:pt idx="4" formatCode="&quot;$&quot;#,##0.00_);[Red]\(&quot;$&quot;#,##0.00\)">
                  <c:v>319979.19</c:v>
                </c:pt>
                <c:pt idx="5">
                  <c:v>319971.99</c:v>
                </c:pt>
                <c:pt idx="6">
                  <c:v>319964.78999999998</c:v>
                </c:pt>
                <c:pt idx="7">
                  <c:v>319957.59000000003</c:v>
                </c:pt>
                <c:pt idx="8">
                  <c:v>319950.39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8FE-411F-86B4-03A326BFF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615935"/>
        <c:axId val="1138616415"/>
      </c:lineChart>
      <c:catAx>
        <c:axId val="113861593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16415"/>
        <c:crosses val="autoZero"/>
        <c:auto val="1"/>
        <c:lblAlgn val="ctr"/>
        <c:lblOffset val="100"/>
        <c:noMultiLvlLbl val="0"/>
      </c:catAx>
      <c:valAx>
        <c:axId val="113861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65E01199-00A5-4775-88B1-2D942C5FDBB6}">
          <cx:tx>
            <cx:txData>
              <cx:f>_xlchart.v1.0</cx:f>
              <cx:v>$669,109,706.87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122005</xdr:colOff>
      <xdr:row>22</xdr:row>
      <xdr:rowOff>83906</xdr:rowOff>
    </xdr:from>
    <xdr:to>
      <xdr:col>21</xdr:col>
      <xdr:colOff>423809</xdr:colOff>
      <xdr:row>36</xdr:row>
      <xdr:rowOff>130139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5EAE9-2439-FEE0-EB68-884D43D51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11</xdr:col>
      <xdr:colOff>693420</xdr:colOff>
      <xdr:row>30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2">
              <a:extLst>
                <a:ext uri="{FF2B5EF4-FFF2-40B4-BE49-F238E27FC236}">
                  <a16:creationId xmlns:a16="http://schemas.microsoft.com/office/drawing/2014/main" id="{DBC68125-C159-4A66-BF33-459B0C0B9E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67100" y="2194560"/>
              <a:ext cx="6797040" cy="345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zoomScale="89" workbookViewId="0">
      <selection activeCell="B24" sqref="B24"/>
    </sheetView>
  </sheetViews>
  <sheetFormatPr defaultRowHeight="14.4"/>
  <cols>
    <col min="1" max="1" width="28.44140625" customWidth="1"/>
    <col min="2" max="2" width="17.21875" customWidth="1"/>
    <col min="3" max="3" width="13.77734375" customWidth="1"/>
    <col min="4" max="4" width="25.21875" customWidth="1"/>
    <col min="5" max="5" width="20.44140625" customWidth="1"/>
    <col min="7" max="7" width="16.44140625" customWidth="1"/>
    <col min="9" max="9" width="23.44140625" customWidth="1"/>
    <col min="11" max="11" width="17.5546875" customWidth="1"/>
    <col min="13" max="13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4">
        <v>-55000</v>
      </c>
      <c r="C2" s="14">
        <v>-30000</v>
      </c>
      <c r="D2" s="14">
        <v>0</v>
      </c>
      <c r="E2" s="14">
        <v>-87040</v>
      </c>
    </row>
    <row r="3" spans="1:5">
      <c r="A3">
        <v>2</v>
      </c>
      <c r="B3" s="14">
        <v>0</v>
      </c>
      <c r="C3" s="14">
        <v>-30000</v>
      </c>
      <c r="D3" s="14">
        <v>87672</v>
      </c>
      <c r="E3" s="14">
        <v>60473</v>
      </c>
    </row>
    <row r="4" spans="1:5">
      <c r="A4">
        <v>3</v>
      </c>
      <c r="B4" s="14">
        <v>0</v>
      </c>
      <c r="C4" s="14">
        <v>-30000</v>
      </c>
      <c r="D4" s="14">
        <v>87672</v>
      </c>
      <c r="E4" s="14">
        <v>61925</v>
      </c>
    </row>
    <row r="5" spans="1:5">
      <c r="A5">
        <v>4</v>
      </c>
      <c r="B5" s="14">
        <v>0</v>
      </c>
      <c r="C5" s="14">
        <v>-30000</v>
      </c>
      <c r="D5" s="14">
        <v>87672</v>
      </c>
      <c r="E5" s="14">
        <v>63411</v>
      </c>
    </row>
    <row r="6" spans="1:5">
      <c r="A6">
        <v>5</v>
      </c>
      <c r="B6" s="14">
        <v>0</v>
      </c>
      <c r="C6" s="14">
        <v>-30000</v>
      </c>
      <c r="D6" s="14">
        <v>87672</v>
      </c>
      <c r="E6" s="14">
        <v>64933</v>
      </c>
    </row>
    <row r="7" spans="1:5">
      <c r="A7">
        <v>6</v>
      </c>
      <c r="B7" s="14">
        <v>0</v>
      </c>
      <c r="C7" s="14">
        <v>-30000</v>
      </c>
      <c r="D7" s="14">
        <v>87672</v>
      </c>
      <c r="E7" s="14">
        <v>66491</v>
      </c>
    </row>
    <row r="8" spans="1:5">
      <c r="A8">
        <v>7</v>
      </c>
      <c r="B8" s="14">
        <v>0</v>
      </c>
      <c r="C8" s="14">
        <v>-30000</v>
      </c>
      <c r="D8" s="14">
        <v>87672</v>
      </c>
      <c r="E8" s="14">
        <v>68087</v>
      </c>
    </row>
    <row r="9" spans="1:5">
      <c r="A9">
        <v>8</v>
      </c>
      <c r="B9" s="14">
        <v>0</v>
      </c>
      <c r="C9" s="14">
        <v>-30000</v>
      </c>
      <c r="D9" s="14">
        <v>87672</v>
      </c>
      <c r="E9" s="14">
        <v>69721</v>
      </c>
    </row>
    <row r="10" spans="1:5">
      <c r="A10">
        <v>9</v>
      </c>
      <c r="B10" s="14">
        <v>0</v>
      </c>
      <c r="C10" s="14">
        <v>-30000</v>
      </c>
      <c r="D10" s="14">
        <v>87672</v>
      </c>
      <c r="E10" s="14">
        <v>71394</v>
      </c>
    </row>
    <row r="11" spans="1:5">
      <c r="A11">
        <v>10</v>
      </c>
      <c r="B11" s="14">
        <v>0</v>
      </c>
      <c r="C11" s="14">
        <v>-30000</v>
      </c>
      <c r="D11" s="14">
        <v>87672</v>
      </c>
      <c r="E11" s="14">
        <v>73108</v>
      </c>
    </row>
    <row r="12" spans="1:5">
      <c r="A12">
        <v>11</v>
      </c>
      <c r="B12" s="14">
        <v>0</v>
      </c>
      <c r="C12" s="14">
        <v>-30000</v>
      </c>
      <c r="D12" s="14">
        <v>87672</v>
      </c>
      <c r="E12" s="14">
        <v>74863</v>
      </c>
    </row>
    <row r="13" spans="1:5">
      <c r="A13">
        <v>12</v>
      </c>
      <c r="B13" s="14">
        <v>0</v>
      </c>
      <c r="C13" s="14">
        <v>-30000</v>
      </c>
      <c r="D13" s="14">
        <v>87672</v>
      </c>
      <c r="E13" s="14">
        <v>76659</v>
      </c>
    </row>
    <row r="14" spans="1:5">
      <c r="A14">
        <v>13</v>
      </c>
      <c r="B14" s="14">
        <v>0</v>
      </c>
      <c r="C14" s="14">
        <v>-30000</v>
      </c>
      <c r="D14" s="14">
        <v>87672</v>
      </c>
      <c r="E14" s="14">
        <v>78499</v>
      </c>
    </row>
    <row r="15" spans="1:5">
      <c r="A15">
        <v>14</v>
      </c>
      <c r="B15" s="14">
        <v>0</v>
      </c>
      <c r="C15" s="14">
        <v>-30000</v>
      </c>
      <c r="D15" s="14">
        <v>87672</v>
      </c>
      <c r="E15" s="14">
        <v>80383</v>
      </c>
    </row>
    <row r="16" spans="1:5">
      <c r="A16">
        <v>15</v>
      </c>
      <c r="B16" s="14">
        <v>0</v>
      </c>
      <c r="C16" s="14">
        <v>-30000</v>
      </c>
      <c r="D16" s="14">
        <v>87672</v>
      </c>
      <c r="E16" s="14">
        <v>82312</v>
      </c>
    </row>
    <row r="17" spans="1:13">
      <c r="D17" t="s">
        <v>5</v>
      </c>
      <c r="E17" s="1">
        <v>319979.19</v>
      </c>
    </row>
    <row r="18" spans="1:13">
      <c r="D18" t="s">
        <v>6</v>
      </c>
      <c r="E18" s="2">
        <v>45557.84</v>
      </c>
    </row>
    <row r="20" spans="1:13">
      <c r="A20" s="8" t="s">
        <v>7</v>
      </c>
      <c r="B20" s="5" t="s">
        <v>8</v>
      </c>
      <c r="C20" s="9" t="s">
        <v>9</v>
      </c>
      <c r="D20" t="s">
        <v>10</v>
      </c>
    </row>
    <row r="21" spans="1:13">
      <c r="A21" s="10" t="s">
        <v>11</v>
      </c>
      <c r="B21" s="5">
        <v>480</v>
      </c>
      <c r="C21" s="11" t="s">
        <v>12</v>
      </c>
      <c r="D21" t="s">
        <v>13</v>
      </c>
    </row>
    <row r="22" spans="1:13">
      <c r="A22" s="10" t="s">
        <v>14</v>
      </c>
      <c r="B22" s="5">
        <v>86</v>
      </c>
      <c r="C22" s="9" t="s">
        <v>15</v>
      </c>
      <c r="D22" t="s">
        <v>16</v>
      </c>
    </row>
    <row r="23" spans="1:13">
      <c r="A23" s="10" t="s">
        <v>17</v>
      </c>
      <c r="B23" s="5">
        <v>72</v>
      </c>
      <c r="C23" s="9" t="s">
        <v>18</v>
      </c>
      <c r="D23" t="s">
        <v>19</v>
      </c>
    </row>
    <row r="24" spans="1:13">
      <c r="A24" s="10" t="s">
        <v>20</v>
      </c>
      <c r="B24" s="5">
        <v>100</v>
      </c>
      <c r="C24" s="9" t="s">
        <v>21</v>
      </c>
      <c r="D24" t="s">
        <v>19</v>
      </c>
      <c r="E24" s="4" t="s">
        <v>22</v>
      </c>
      <c r="F24" s="71" t="s">
        <v>11</v>
      </c>
      <c r="G24" s="71"/>
      <c r="H24" s="71" t="s">
        <v>14</v>
      </c>
      <c r="I24" s="71"/>
      <c r="J24" s="71" t="s">
        <v>17</v>
      </c>
      <c r="K24" s="71"/>
      <c r="L24" s="69" t="s">
        <v>20</v>
      </c>
      <c r="M24" s="70"/>
    </row>
    <row r="25" spans="1:13">
      <c r="A25" s="5" t="s">
        <v>23</v>
      </c>
      <c r="B25" s="12">
        <v>2.4E-2</v>
      </c>
      <c r="C25" s="5"/>
      <c r="E25" s="5"/>
      <c r="F25" s="5" t="s">
        <v>8</v>
      </c>
      <c r="G25" s="5" t="s">
        <v>5</v>
      </c>
      <c r="H25" s="5" t="s">
        <v>8</v>
      </c>
      <c r="I25" s="5" t="s">
        <v>5</v>
      </c>
      <c r="J25" s="5" t="s">
        <v>8</v>
      </c>
      <c r="K25" s="5" t="s">
        <v>5</v>
      </c>
      <c r="L25" s="5" t="s">
        <v>8</v>
      </c>
      <c r="M25" s="5" t="s">
        <v>5</v>
      </c>
    </row>
    <row r="26" spans="1:13">
      <c r="A26" s="5" t="s">
        <v>24</v>
      </c>
      <c r="B26" s="13">
        <v>7.0000000000000007E-2</v>
      </c>
      <c r="C26" s="5"/>
      <c r="E26" s="4" t="s">
        <v>25</v>
      </c>
      <c r="F26">
        <v>480</v>
      </c>
      <c r="G26" s="6">
        <v>319979.19</v>
      </c>
      <c r="H26" s="5">
        <v>86</v>
      </c>
      <c r="I26" s="6">
        <v>319979.19</v>
      </c>
      <c r="J26" s="5">
        <v>72</v>
      </c>
      <c r="K26" s="6">
        <v>319979.19</v>
      </c>
      <c r="L26" s="5">
        <v>100</v>
      </c>
      <c r="M26" s="6">
        <v>319979.19</v>
      </c>
    </row>
    <row r="27" spans="1:13">
      <c r="A27" s="3"/>
      <c r="E27" s="7">
        <v>-0.2</v>
      </c>
      <c r="F27" s="18">
        <v>384</v>
      </c>
      <c r="G27" s="5">
        <f>319979.19+(480-384)*800</f>
        <v>396779.19</v>
      </c>
      <c r="H27" s="5">
        <v>68.8</v>
      </c>
      <c r="I27" s="5">
        <f>319979.19+(86-H27)*50000</f>
        <v>1179979.1900000002</v>
      </c>
      <c r="J27" s="5">
        <v>57.6</v>
      </c>
      <c r="K27" s="5">
        <f>319979.19+(72-J27)*9.6*365</f>
        <v>370436.79</v>
      </c>
      <c r="L27" s="5">
        <v>80</v>
      </c>
      <c r="M27" s="5">
        <f>319979.19+(100-L27)*0.12*12</f>
        <v>320007.99</v>
      </c>
    </row>
    <row r="28" spans="1:13">
      <c r="A28" s="3"/>
      <c r="E28" s="7">
        <v>-0.15</v>
      </c>
      <c r="F28" s="5">
        <v>408</v>
      </c>
      <c r="G28" s="5">
        <f>319979.19+(480-408)*800</f>
        <v>377579.19</v>
      </c>
      <c r="H28" s="5">
        <v>73.099999999999994</v>
      </c>
      <c r="I28" s="5">
        <f t="shared" ref="I28:I30" si="0">319979.19+(86-H28)*50000</f>
        <v>964979.19000000018</v>
      </c>
      <c r="J28" s="5">
        <v>61.2</v>
      </c>
      <c r="K28" s="5">
        <f t="shared" ref="K28:K30" si="1">319979.19+(72-J28)*9.6*365</f>
        <v>357822.39</v>
      </c>
      <c r="L28" s="5">
        <v>85</v>
      </c>
      <c r="M28" s="5">
        <f t="shared" ref="M28:M30" si="2">319979.19+(100-L28)*0.12*12</f>
        <v>320000.78999999998</v>
      </c>
    </row>
    <row r="29" spans="1:13" ht="15" customHeight="1">
      <c r="A29" s="72" t="s">
        <v>26</v>
      </c>
      <c r="B29" s="73"/>
      <c r="C29" s="74"/>
      <c r="E29" s="7">
        <v>-0.1</v>
      </c>
      <c r="F29" s="5">
        <v>432</v>
      </c>
      <c r="G29" s="5">
        <f>319979.19+(480-432)*800</f>
        <v>358379.19</v>
      </c>
      <c r="H29" s="5">
        <v>77.400000000000006</v>
      </c>
      <c r="I29" s="5">
        <f t="shared" si="0"/>
        <v>749979.18999999971</v>
      </c>
      <c r="J29" s="5">
        <v>64.8</v>
      </c>
      <c r="K29" s="5">
        <f t="shared" si="1"/>
        <v>345207.99</v>
      </c>
      <c r="L29" s="5">
        <v>90</v>
      </c>
      <c r="M29" s="5">
        <f t="shared" si="2"/>
        <v>319993.59000000003</v>
      </c>
    </row>
    <row r="30" spans="1:13">
      <c r="A30" s="15" t="s">
        <v>27</v>
      </c>
      <c r="B30" s="16">
        <v>0.14199999999999999</v>
      </c>
      <c r="C30" s="17" t="s">
        <v>28</v>
      </c>
      <c r="E30" s="7">
        <v>-0.05</v>
      </c>
      <c r="F30" s="5">
        <v>456</v>
      </c>
      <c r="G30" s="5">
        <f>319979.19+(480-456)*800</f>
        <v>339179.19</v>
      </c>
      <c r="H30" s="5">
        <v>81.7</v>
      </c>
      <c r="I30" s="5">
        <f t="shared" si="0"/>
        <v>534979.18999999983</v>
      </c>
      <c r="J30" s="5">
        <v>68.400000000000006</v>
      </c>
      <c r="K30" s="5">
        <f t="shared" si="1"/>
        <v>332593.58999999997</v>
      </c>
      <c r="L30" s="5">
        <v>95</v>
      </c>
      <c r="M30" s="5">
        <f t="shared" si="2"/>
        <v>319986.39</v>
      </c>
    </row>
    <row r="31" spans="1:13">
      <c r="A31" s="15" t="s">
        <v>29</v>
      </c>
      <c r="B31" s="16">
        <v>800</v>
      </c>
      <c r="C31" s="17" t="s">
        <v>30</v>
      </c>
      <c r="E31" s="7">
        <v>0</v>
      </c>
      <c r="F31" s="5">
        <v>480</v>
      </c>
      <c r="G31" s="6">
        <v>319979.19</v>
      </c>
      <c r="H31" s="5">
        <v>86</v>
      </c>
      <c r="I31" s="6">
        <v>319979.19</v>
      </c>
      <c r="J31" s="5">
        <v>72</v>
      </c>
      <c r="K31" s="6">
        <v>319979.19</v>
      </c>
      <c r="L31" s="5">
        <v>100</v>
      </c>
      <c r="M31" s="6">
        <v>319979.19</v>
      </c>
    </row>
    <row r="32" spans="1:13">
      <c r="A32" s="15" t="s">
        <v>31</v>
      </c>
      <c r="B32" s="16">
        <v>9.6</v>
      </c>
      <c r="C32" s="17" t="s">
        <v>32</v>
      </c>
      <c r="E32" s="7">
        <v>0.05</v>
      </c>
      <c r="F32" s="5">
        <v>504</v>
      </c>
      <c r="G32" s="5">
        <f>319979.19+(480-504)*800</f>
        <v>300779.19</v>
      </c>
      <c r="H32" s="5">
        <v>90.3</v>
      </c>
      <c r="I32" s="5">
        <f>319979.19+(86-H32)*50000</f>
        <v>104979.19000000015</v>
      </c>
      <c r="J32" s="5">
        <v>75.599999999999994</v>
      </c>
      <c r="K32" s="5">
        <f>319979.19+(72-J32)*9.6*365</f>
        <v>307364.79000000004</v>
      </c>
      <c r="L32" s="5">
        <v>105</v>
      </c>
      <c r="M32" s="5">
        <f>319979.19+(100-L32)*0.12*12</f>
        <v>319971.99</v>
      </c>
    </row>
    <row r="33" spans="1:13">
      <c r="A33" s="15" t="s">
        <v>33</v>
      </c>
      <c r="B33" s="16">
        <v>50000</v>
      </c>
      <c r="C33" s="17" t="s">
        <v>34</v>
      </c>
      <c r="E33" s="7">
        <v>0.1</v>
      </c>
      <c r="F33" s="5">
        <v>528</v>
      </c>
      <c r="G33" s="5">
        <f>319979.19+(480-F33)*800</f>
        <v>281579.19</v>
      </c>
      <c r="H33" s="5">
        <v>94.6</v>
      </c>
      <c r="I33" s="5">
        <f t="shared" ref="I33:I35" si="3">319979.19+(86-H33)*50000</f>
        <v>-110020.80999999971</v>
      </c>
      <c r="J33" s="5">
        <v>79.2</v>
      </c>
      <c r="K33" s="5">
        <f t="shared" ref="K33:K35" si="4">319979.19+(72-J33)*9.6*365</f>
        <v>294750.39</v>
      </c>
      <c r="L33" s="5">
        <v>110</v>
      </c>
      <c r="M33" s="5">
        <f t="shared" ref="M33:M35" si="5">319979.19+(100-L33)*0.12*12</f>
        <v>319964.78999999998</v>
      </c>
    </row>
    <row r="34" spans="1:13">
      <c r="A34" s="3"/>
      <c r="E34" s="7">
        <v>0.15</v>
      </c>
      <c r="F34" s="5">
        <v>552</v>
      </c>
      <c r="G34" s="5">
        <f t="shared" ref="G34:G35" si="6">319979.19+(480-F34)*800</f>
        <v>262379.19</v>
      </c>
      <c r="H34" s="5">
        <v>98.9</v>
      </c>
      <c r="I34" s="5">
        <f t="shared" si="3"/>
        <v>-325020.81000000023</v>
      </c>
      <c r="J34" s="5">
        <v>82.8</v>
      </c>
      <c r="K34" s="5">
        <f t="shared" si="4"/>
        <v>282135.99</v>
      </c>
      <c r="L34" s="5">
        <v>115</v>
      </c>
      <c r="M34" s="5">
        <f t="shared" si="5"/>
        <v>319957.59000000003</v>
      </c>
    </row>
    <row r="35" spans="1:13">
      <c r="A35" s="3"/>
      <c r="E35" s="7">
        <v>0.2</v>
      </c>
      <c r="F35" s="5">
        <v>576</v>
      </c>
      <c r="G35" s="5">
        <f t="shared" si="6"/>
        <v>243179.19</v>
      </c>
      <c r="H35" s="5">
        <v>103.2</v>
      </c>
      <c r="I35" s="5">
        <f t="shared" si="3"/>
        <v>-540020.81000000006</v>
      </c>
      <c r="J35" s="5">
        <v>86.4</v>
      </c>
      <c r="K35" s="5">
        <f t="shared" si="4"/>
        <v>269521.58999999997</v>
      </c>
      <c r="L35" s="5">
        <v>120</v>
      </c>
      <c r="M35" s="5">
        <f t="shared" si="5"/>
        <v>319950.39</v>
      </c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</sheetData>
  <mergeCells count="5">
    <mergeCell ref="L24:M24"/>
    <mergeCell ref="F24:G24"/>
    <mergeCell ref="H24:I24"/>
    <mergeCell ref="J24:K24"/>
    <mergeCell ref="A29:C2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4BE-ECA9-497F-B1E9-BE059602F6FD}">
  <dimension ref="A1:AD52"/>
  <sheetViews>
    <sheetView topLeftCell="A47" zoomScale="96" workbookViewId="0">
      <selection activeCell="X14" sqref="X14"/>
    </sheetView>
  </sheetViews>
  <sheetFormatPr defaultRowHeight="14.4"/>
  <cols>
    <col min="1" max="1" width="47.21875" customWidth="1"/>
    <col min="2" max="2" width="19.109375" bestFit="1" customWidth="1"/>
    <col min="3" max="3" width="17.21875" customWidth="1"/>
    <col min="4" max="4" width="31.5546875" customWidth="1"/>
    <col min="5" max="5" width="30.88671875" bestFit="1" customWidth="1"/>
    <col min="6" max="6" width="26.21875" customWidth="1"/>
    <col min="7" max="7" width="17.109375" bestFit="1" customWidth="1"/>
    <col min="8" max="8" width="16.77734375" customWidth="1"/>
    <col min="9" max="9" width="15.109375" customWidth="1"/>
    <col min="10" max="10" width="12.77734375" bestFit="1" customWidth="1"/>
    <col min="11" max="11" width="11.88671875" bestFit="1" customWidth="1"/>
    <col min="12" max="13" width="11.77734375" customWidth="1"/>
    <col min="14" max="14" width="15.5546875" customWidth="1"/>
    <col min="15" max="15" width="15.77734375" customWidth="1"/>
    <col min="16" max="16" width="11.77734375" customWidth="1"/>
    <col min="17" max="17" width="12.88671875" bestFit="1" customWidth="1"/>
    <col min="18" max="18" width="13.77734375" customWidth="1"/>
    <col min="19" max="19" width="15.21875" customWidth="1"/>
    <col min="20" max="20" width="10.109375" customWidth="1"/>
    <col min="21" max="21" width="11.21875" customWidth="1"/>
    <col min="22" max="22" width="16" bestFit="1" customWidth="1"/>
    <col min="23" max="23" width="19.6640625" customWidth="1"/>
    <col min="24" max="24" width="32.44140625" customWidth="1"/>
    <col min="25" max="25" width="16.44140625" customWidth="1"/>
    <col min="26" max="26" width="18.5546875" customWidth="1"/>
    <col min="27" max="27" width="18.77734375" customWidth="1"/>
    <col min="28" max="28" width="21.77734375" customWidth="1"/>
  </cols>
  <sheetData>
    <row r="1" spans="1:30">
      <c r="B1" s="5"/>
      <c r="C1" s="75" t="s">
        <v>35</v>
      </c>
      <c r="D1" s="75"/>
      <c r="E1" s="75"/>
      <c r="F1" s="75"/>
      <c r="G1" s="76" t="s">
        <v>36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7" t="s">
        <v>37</v>
      </c>
      <c r="S1" s="77"/>
      <c r="T1" s="77"/>
      <c r="U1" s="77"/>
      <c r="V1" s="77"/>
      <c r="W1" s="5"/>
      <c r="Y1" s="78" t="s">
        <v>38</v>
      </c>
      <c r="Z1" s="78"/>
      <c r="AA1" s="78"/>
      <c r="AB1" s="78"/>
      <c r="AC1" s="78"/>
      <c r="AD1" s="78"/>
    </row>
    <row r="2" spans="1:30" ht="69.599999999999994">
      <c r="B2" s="4" t="s">
        <v>0</v>
      </c>
      <c r="C2" s="19" t="s">
        <v>87</v>
      </c>
      <c r="D2" s="20" t="s">
        <v>66</v>
      </c>
      <c r="E2" s="20" t="s">
        <v>88</v>
      </c>
      <c r="F2" s="19"/>
      <c r="G2" s="21" t="s">
        <v>39</v>
      </c>
      <c r="H2" s="21" t="s">
        <v>89</v>
      </c>
      <c r="I2" s="21" t="s">
        <v>90</v>
      </c>
      <c r="J2" s="56" t="s">
        <v>91</v>
      </c>
      <c r="K2" s="56" t="s">
        <v>92</v>
      </c>
      <c r="L2" s="56" t="s">
        <v>93</v>
      </c>
      <c r="M2" s="56" t="s">
        <v>94</v>
      </c>
      <c r="N2" s="56" t="s">
        <v>95</v>
      </c>
      <c r="O2" s="56" t="s">
        <v>96</v>
      </c>
      <c r="P2" s="56" t="s">
        <v>43</v>
      </c>
      <c r="Q2" s="56" t="s">
        <v>44</v>
      </c>
      <c r="R2" s="22" t="s">
        <v>45</v>
      </c>
      <c r="S2" s="22" t="s">
        <v>46</v>
      </c>
      <c r="T2" s="22" t="s">
        <v>97</v>
      </c>
      <c r="U2" s="22" t="s">
        <v>98</v>
      </c>
      <c r="V2" s="23" t="s">
        <v>99</v>
      </c>
      <c r="W2" s="24" t="s">
        <v>4</v>
      </c>
      <c r="Y2" s="25" t="s">
        <v>40</v>
      </c>
      <c r="Z2" s="25" t="s">
        <v>41</v>
      </c>
      <c r="AA2" s="25" t="s">
        <v>42</v>
      </c>
      <c r="AB2" s="25" t="s">
        <v>43</v>
      </c>
    </row>
    <row r="3" spans="1:30">
      <c r="A3" s="79"/>
      <c r="B3" s="4">
        <v>1</v>
      </c>
      <c r="C3" s="26">
        <f>-F$25*B25</f>
        <v>-32300</v>
      </c>
      <c r="D3" s="26">
        <f>-B26*F26*F29</f>
        <v>-8256</v>
      </c>
      <c r="E3" s="26">
        <f>-B28*F28</f>
        <v>-3500</v>
      </c>
      <c r="F3" s="27"/>
      <c r="G3" s="28">
        <f>-$B$25*$F$27</f>
        <v>-64600</v>
      </c>
      <c r="H3" s="28">
        <f t="shared" ref="H3:H12" si="0">-($F$34+$F$35+$F$36)/3-IF(E$49,G$49,0)</f>
        <v>-72702.400000000009</v>
      </c>
      <c r="I3" s="28">
        <f>-$B$28*F$30*12-F$26*F$29*365</f>
        <v>-35210.400000000001</v>
      </c>
      <c r="J3" s="29">
        <f xml:space="preserve"> -(B47*C47) - IF(E47, G47, 0)</f>
        <v>-6825</v>
      </c>
      <c r="K3" s="29">
        <f xml:space="preserve"> -(B48*C48) - IF(E48, G48, 0)</f>
        <v>-4500</v>
      </c>
      <c r="L3" s="29">
        <f t="shared" ref="L3:L12" ca="1" si="1">-Z3</f>
        <v>-6000</v>
      </c>
      <c r="M3" s="29">
        <f xml:space="preserve"> -($B$26 * $F$38) - (B49*C49) - IF(E49, G49, 0)</f>
        <v>-9400</v>
      </c>
      <c r="N3" s="29">
        <f t="shared" ref="N3:N12" ca="1" si="2">-AA3</f>
        <v>0</v>
      </c>
      <c r="O3" s="29">
        <f xml:space="preserve"> -(200 * $F$28)</f>
        <v>-7000</v>
      </c>
      <c r="P3" s="29">
        <f t="shared" ref="P3:P12" ca="1" si="3">-AB3</f>
        <v>0</v>
      </c>
      <c r="Q3" s="29">
        <f t="shared" ref="Q3:Q12" si="4">-IF($E$50,$G$50,0)</f>
        <v>0</v>
      </c>
      <c r="R3" s="30">
        <v>0</v>
      </c>
      <c r="S3" s="30">
        <v>0</v>
      </c>
      <c r="T3" s="30">
        <v>0</v>
      </c>
      <c r="U3" s="30">
        <v>0</v>
      </c>
      <c r="V3" s="31">
        <v>0</v>
      </c>
      <c r="W3" s="32">
        <f t="shared" ref="W3:W12" ca="1" si="5">SUM(C3:V3)*(1+$B$29)^B3</f>
        <v>-256300.85120000003</v>
      </c>
      <c r="Y3" s="33">
        <f t="shared" ref="Y3:Y12" ca="1" si="6">IF(RAND() &lt; ($B$47-IF($E$47, $I$47, 0)), $C$47, 0)</f>
        <v>0</v>
      </c>
      <c r="Z3" s="33">
        <f t="shared" ref="Z3:Z12" ca="1" si="7">IF(RAND() &lt; ($B$48-IF($E$48, $I$48, 0)), $C$48, 0)</f>
        <v>6000</v>
      </c>
      <c r="AA3" s="33">
        <f t="shared" ref="AA3:AA12" ca="1" si="8">IF(RAND() &lt; ($B$49-IF($E$49, $I$49, 0)), $C$49, 0)</f>
        <v>0</v>
      </c>
      <c r="AB3" s="33">
        <f t="shared" ref="AB3:AB12" ca="1" si="9">IF(RAND() &lt; ($B$50-IF($E$50, $I$50, 0)), $C$50, 0)</f>
        <v>0</v>
      </c>
    </row>
    <row r="4" spans="1:30">
      <c r="A4" s="79"/>
      <c r="B4" s="4">
        <v>2</v>
      </c>
      <c r="C4" s="27">
        <v>0</v>
      </c>
      <c r="D4" s="27">
        <v>0</v>
      </c>
      <c r="E4" s="27">
        <v>0</v>
      </c>
      <c r="F4" s="27"/>
      <c r="G4" s="28">
        <f t="shared" ref="G4:G12" si="10">-$B$25*$F$27</f>
        <v>-64600</v>
      </c>
      <c r="H4" s="28">
        <f t="shared" si="0"/>
        <v>-72702.400000000009</v>
      </c>
      <c r="I4" s="28">
        <f t="shared" ref="I4:I12" si="11">-$B$28*F$30*12-F$26*F$29*365</f>
        <v>-35210.400000000001</v>
      </c>
      <c r="J4" s="29">
        <f t="shared" ref="J4:J12" si="12" xml:space="preserve"> -(B48*C48) - IF(E48, G48, 0)</f>
        <v>-4500</v>
      </c>
      <c r="K4" s="29">
        <f t="shared" ref="K4:K12" si="13" xml:space="preserve"> -(B49*C49) - IF(E49, G49, 0)</f>
        <v>-800</v>
      </c>
      <c r="L4" s="29">
        <f t="shared" ca="1" si="1"/>
        <v>-6000</v>
      </c>
      <c r="M4" s="29">
        <f t="shared" ref="M4:M12" si="14" xml:space="preserve"> -($B$26 * $F$38) - (B50*C50) - IF(E50, G50, 0)</f>
        <v>-10760</v>
      </c>
      <c r="N4" s="29">
        <f t="shared" ca="1" si="2"/>
        <v>0</v>
      </c>
      <c r="O4" s="29">
        <f t="shared" ref="O4:O12" si="15" xml:space="preserve"> -(200 * $F$28)</f>
        <v>-7000</v>
      </c>
      <c r="P4" s="29">
        <f t="shared" ca="1" si="3"/>
        <v>0</v>
      </c>
      <c r="Q4" s="29">
        <f t="shared" si="4"/>
        <v>0</v>
      </c>
      <c r="R4" s="34">
        <f>F$28*5*8*365</f>
        <v>511000</v>
      </c>
      <c r="S4" s="34">
        <f t="shared" ref="S4:S12" si="16">F$30*365*24*(1-0.99)</f>
        <v>12.439200000000012</v>
      </c>
      <c r="T4" s="34">
        <f>365*24*(1-0.99)*F$31</f>
        <v>8.7600000000000087</v>
      </c>
      <c r="U4" s="34">
        <f>100*365*12*F$32</f>
        <v>4380</v>
      </c>
      <c r="V4" s="35">
        <f>F$37*F$30*24*365</f>
        <v>95866426.559999987</v>
      </c>
      <c r="W4" s="36">
        <f t="shared" ca="1" si="5"/>
        <v>100852307.02409808</v>
      </c>
      <c r="Y4" s="33">
        <f t="shared" ca="1" si="6"/>
        <v>0</v>
      </c>
      <c r="Z4" s="33">
        <f t="shared" ca="1" si="7"/>
        <v>6000</v>
      </c>
      <c r="AA4" s="33">
        <f t="shared" ca="1" si="8"/>
        <v>0</v>
      </c>
      <c r="AB4" s="33">
        <f t="shared" ca="1" si="9"/>
        <v>0</v>
      </c>
    </row>
    <row r="5" spans="1:30">
      <c r="A5" s="79"/>
      <c r="B5" s="4">
        <v>3</v>
      </c>
      <c r="C5" s="27">
        <v>0</v>
      </c>
      <c r="D5" s="27">
        <v>0</v>
      </c>
      <c r="E5" s="27">
        <v>0</v>
      </c>
      <c r="F5" s="27"/>
      <c r="G5" s="28">
        <f t="shared" si="10"/>
        <v>-64600</v>
      </c>
      <c r="H5" s="28">
        <f t="shared" si="0"/>
        <v>-72702.400000000009</v>
      </c>
      <c r="I5" s="28">
        <f t="shared" si="11"/>
        <v>-35210.400000000001</v>
      </c>
      <c r="J5" s="29">
        <f t="shared" si="12"/>
        <v>-800</v>
      </c>
      <c r="K5" s="29">
        <f t="shared" si="13"/>
        <v>-2160</v>
      </c>
      <c r="L5" s="29">
        <f t="shared" ca="1" si="1"/>
        <v>0</v>
      </c>
      <c r="M5" s="29">
        <f t="shared" si="14"/>
        <v>-8600</v>
      </c>
      <c r="N5" s="29">
        <f t="shared" ca="1" si="2"/>
        <v>0</v>
      </c>
      <c r="O5" s="29">
        <f t="shared" si="15"/>
        <v>-7000</v>
      </c>
      <c r="P5" s="29">
        <f t="shared" ca="1" si="3"/>
        <v>0</v>
      </c>
      <c r="Q5" s="29">
        <f t="shared" si="4"/>
        <v>0</v>
      </c>
      <c r="R5" s="34">
        <f t="shared" ref="R5:R12" si="17">F$28*5*8*365</f>
        <v>511000</v>
      </c>
      <c r="S5" s="34">
        <f t="shared" si="16"/>
        <v>12.439200000000012</v>
      </c>
      <c r="T5" s="34">
        <f t="shared" ref="T5:T12" si="18">365*24*(1-0.99)*F$31</f>
        <v>8.7600000000000087</v>
      </c>
      <c r="U5" s="34">
        <f t="shared" ref="U5:U12" si="19">100*365*12*F$32</f>
        <v>4380</v>
      </c>
      <c r="V5" s="35">
        <f t="shared" ref="V5:V12" si="20">F$37*F$30*24*365</f>
        <v>95866426.559999987</v>
      </c>
      <c r="W5" s="36">
        <f t="shared" ca="1" si="5"/>
        <v>103284036.68182845</v>
      </c>
      <c r="Y5" s="33">
        <f t="shared" ca="1" si="6"/>
        <v>0</v>
      </c>
      <c r="Z5" s="33">
        <f t="shared" ca="1" si="7"/>
        <v>0</v>
      </c>
      <c r="AA5" s="33">
        <f t="shared" ca="1" si="8"/>
        <v>0</v>
      </c>
      <c r="AB5" s="33">
        <f t="shared" ca="1" si="9"/>
        <v>0</v>
      </c>
    </row>
    <row r="6" spans="1:30">
      <c r="A6" s="79"/>
      <c r="B6" s="4">
        <v>4</v>
      </c>
      <c r="C6" s="27">
        <v>0</v>
      </c>
      <c r="D6" s="27">
        <v>0</v>
      </c>
      <c r="E6" s="27">
        <v>0</v>
      </c>
      <c r="F6" s="27"/>
      <c r="G6" s="28">
        <f t="shared" si="10"/>
        <v>-64600</v>
      </c>
      <c r="H6" s="28">
        <f t="shared" si="0"/>
        <v>-72702.400000000009</v>
      </c>
      <c r="I6" s="28">
        <f t="shared" si="11"/>
        <v>-35210.400000000001</v>
      </c>
      <c r="J6" s="29">
        <f t="shared" si="12"/>
        <v>-2160</v>
      </c>
      <c r="K6" s="29">
        <f t="shared" si="13"/>
        <v>0</v>
      </c>
      <c r="L6" s="29">
        <f t="shared" ca="1" si="1"/>
        <v>-6000</v>
      </c>
      <c r="M6" s="29">
        <f t="shared" si="14"/>
        <v>-8600</v>
      </c>
      <c r="N6" s="29">
        <f t="shared" ca="1" si="2"/>
        <v>0</v>
      </c>
      <c r="O6" s="29">
        <f t="shared" si="15"/>
        <v>-7000</v>
      </c>
      <c r="P6" s="29">
        <f t="shared" ca="1" si="3"/>
        <v>0</v>
      </c>
      <c r="Q6" s="29">
        <f t="shared" si="4"/>
        <v>0</v>
      </c>
      <c r="R6" s="34">
        <f t="shared" si="17"/>
        <v>511000</v>
      </c>
      <c r="S6" s="34">
        <f t="shared" si="16"/>
        <v>12.439200000000012</v>
      </c>
      <c r="T6" s="34">
        <f t="shared" si="18"/>
        <v>8.7600000000000087</v>
      </c>
      <c r="U6" s="34">
        <f t="shared" si="19"/>
        <v>4380</v>
      </c>
      <c r="V6" s="35">
        <f t="shared" si="20"/>
        <v>95866426.559999987</v>
      </c>
      <c r="W6" s="36">
        <f t="shared" ca="1" si="5"/>
        <v>105757136.10172789</v>
      </c>
      <c r="Y6" s="33">
        <f t="shared" ca="1" si="6"/>
        <v>0</v>
      </c>
      <c r="Z6" s="33">
        <f t="shared" ca="1" si="7"/>
        <v>6000</v>
      </c>
      <c r="AA6" s="33">
        <f t="shared" ca="1" si="8"/>
        <v>0</v>
      </c>
      <c r="AB6" s="33">
        <f t="shared" ca="1" si="9"/>
        <v>0</v>
      </c>
    </row>
    <row r="7" spans="1:30">
      <c r="A7" s="79"/>
      <c r="B7" s="4">
        <v>5</v>
      </c>
      <c r="C7" s="27">
        <v>0</v>
      </c>
      <c r="D7" s="27">
        <v>0</v>
      </c>
      <c r="E7" s="27">
        <v>0</v>
      </c>
      <c r="F7" s="27"/>
      <c r="G7" s="28">
        <f t="shared" si="10"/>
        <v>-64600</v>
      </c>
      <c r="H7" s="28">
        <f t="shared" si="0"/>
        <v>-72702.400000000009</v>
      </c>
      <c r="I7" s="28">
        <f t="shared" si="11"/>
        <v>-35210.400000000001</v>
      </c>
      <c r="J7" s="29">
        <f t="shared" si="12"/>
        <v>0</v>
      </c>
      <c r="K7" s="29">
        <f t="shared" si="13"/>
        <v>0</v>
      </c>
      <c r="L7" s="29">
        <f t="shared" ca="1" si="1"/>
        <v>0</v>
      </c>
      <c r="M7" s="29">
        <f t="shared" si="14"/>
        <v>-8600</v>
      </c>
      <c r="N7" s="29">
        <f t="shared" ca="1" si="2"/>
        <v>0</v>
      </c>
      <c r="O7" s="29">
        <f t="shared" si="15"/>
        <v>-7000</v>
      </c>
      <c r="P7" s="29">
        <f t="shared" ca="1" si="3"/>
        <v>0</v>
      </c>
      <c r="Q7" s="29">
        <f t="shared" si="4"/>
        <v>0</v>
      </c>
      <c r="R7" s="34">
        <f t="shared" si="17"/>
        <v>511000</v>
      </c>
      <c r="S7" s="34">
        <f t="shared" si="16"/>
        <v>12.439200000000012</v>
      </c>
      <c r="T7" s="34">
        <f t="shared" si="18"/>
        <v>8.7600000000000087</v>
      </c>
      <c r="U7" s="34">
        <f t="shared" si="19"/>
        <v>4380</v>
      </c>
      <c r="V7" s="35">
        <f t="shared" si="20"/>
        <v>95866426.559999987</v>
      </c>
      <c r="W7" s="36">
        <f t="shared" ca="1" si="5"/>
        <v>108304494.71140921</v>
      </c>
      <c r="Y7" s="33">
        <f t="shared" ca="1" si="6"/>
        <v>0</v>
      </c>
      <c r="Z7" s="33">
        <f t="shared" ca="1" si="7"/>
        <v>0</v>
      </c>
      <c r="AA7" s="33">
        <f t="shared" ca="1" si="8"/>
        <v>0</v>
      </c>
      <c r="AB7" s="33">
        <f t="shared" ca="1" si="9"/>
        <v>0</v>
      </c>
    </row>
    <row r="8" spans="1:30">
      <c r="B8" s="4">
        <v>6</v>
      </c>
      <c r="C8" s="27">
        <v>0</v>
      </c>
      <c r="D8" s="27">
        <v>0</v>
      </c>
      <c r="E8" s="27">
        <v>0</v>
      </c>
      <c r="F8" s="27"/>
      <c r="G8" s="28">
        <f t="shared" si="10"/>
        <v>-64600</v>
      </c>
      <c r="H8" s="28">
        <f t="shared" si="0"/>
        <v>-72702.400000000009</v>
      </c>
      <c r="I8" s="28">
        <f t="shared" si="11"/>
        <v>-35210.400000000001</v>
      </c>
      <c r="J8" s="29">
        <f t="shared" si="12"/>
        <v>0</v>
      </c>
      <c r="K8" s="29">
        <f t="shared" si="13"/>
        <v>0</v>
      </c>
      <c r="L8" s="29">
        <f t="shared" ca="1" si="1"/>
        <v>-6000</v>
      </c>
      <c r="M8" s="29">
        <f t="shared" si="14"/>
        <v>-8600</v>
      </c>
      <c r="N8" s="29">
        <f t="shared" ca="1" si="2"/>
        <v>0</v>
      </c>
      <c r="O8" s="29">
        <f t="shared" si="15"/>
        <v>-7000</v>
      </c>
      <c r="P8" s="29">
        <f t="shared" ca="1" si="3"/>
        <v>0</v>
      </c>
      <c r="Q8" s="29">
        <f t="shared" si="4"/>
        <v>0</v>
      </c>
      <c r="R8" s="34">
        <f t="shared" si="17"/>
        <v>511000</v>
      </c>
      <c r="S8" s="34">
        <f t="shared" si="16"/>
        <v>12.439200000000012</v>
      </c>
      <c r="T8" s="34">
        <f t="shared" si="18"/>
        <v>8.7600000000000087</v>
      </c>
      <c r="U8" s="34">
        <f t="shared" si="19"/>
        <v>4380</v>
      </c>
      <c r="V8" s="35">
        <f t="shared" si="20"/>
        <v>95866426.559999987</v>
      </c>
      <c r="W8" s="36">
        <f t="shared" ca="1" si="5"/>
        <v>110896885.05545537</v>
      </c>
      <c r="Y8" s="33">
        <f t="shared" ca="1" si="6"/>
        <v>0</v>
      </c>
      <c r="Z8" s="33">
        <f t="shared" ca="1" si="7"/>
        <v>6000</v>
      </c>
      <c r="AA8" s="33">
        <f t="shared" ca="1" si="8"/>
        <v>0</v>
      </c>
      <c r="AB8" s="33">
        <f t="shared" ca="1" si="9"/>
        <v>0</v>
      </c>
    </row>
    <row r="9" spans="1:30">
      <c r="B9" s="4">
        <v>7</v>
      </c>
      <c r="C9" s="27">
        <v>0</v>
      </c>
      <c r="D9" s="27">
        <v>0</v>
      </c>
      <c r="E9" s="27">
        <v>0</v>
      </c>
      <c r="F9" s="27"/>
      <c r="G9" s="28">
        <f t="shared" si="10"/>
        <v>-64600</v>
      </c>
      <c r="H9" s="28">
        <f t="shared" si="0"/>
        <v>-72702.400000000009</v>
      </c>
      <c r="I9" s="28">
        <f t="shared" si="11"/>
        <v>-35210.400000000001</v>
      </c>
      <c r="J9" s="29">
        <f t="shared" si="12"/>
        <v>0</v>
      </c>
      <c r="K9" s="29">
        <f t="shared" si="13"/>
        <v>0</v>
      </c>
      <c r="L9" s="29">
        <f t="shared" ca="1" si="1"/>
        <v>-6000</v>
      </c>
      <c r="M9" s="29">
        <f t="shared" si="14"/>
        <v>-8600</v>
      </c>
      <c r="N9" s="29">
        <f t="shared" ca="1" si="2"/>
        <v>0</v>
      </c>
      <c r="O9" s="29">
        <f t="shared" si="15"/>
        <v>-7000</v>
      </c>
      <c r="P9" s="29">
        <f t="shared" ca="1" si="3"/>
        <v>0</v>
      </c>
      <c r="Q9" s="29">
        <f t="shared" si="4"/>
        <v>0</v>
      </c>
      <c r="R9" s="34">
        <f t="shared" si="17"/>
        <v>511000</v>
      </c>
      <c r="S9" s="34">
        <f t="shared" si="16"/>
        <v>12.439200000000012</v>
      </c>
      <c r="T9" s="34">
        <f t="shared" si="18"/>
        <v>8.7600000000000087</v>
      </c>
      <c r="U9" s="34">
        <f t="shared" si="19"/>
        <v>4380</v>
      </c>
      <c r="V9" s="35">
        <f t="shared" si="20"/>
        <v>95866426.559999987</v>
      </c>
      <c r="W9" s="36">
        <f t="shared" ca="1" si="5"/>
        <v>113558410.29678632</v>
      </c>
      <c r="Y9" s="33">
        <f t="shared" ca="1" si="6"/>
        <v>52500</v>
      </c>
      <c r="Z9" s="33">
        <f t="shared" ca="1" si="7"/>
        <v>6000</v>
      </c>
      <c r="AA9" s="33">
        <f t="shared" ca="1" si="8"/>
        <v>0</v>
      </c>
      <c r="AB9" s="33">
        <f t="shared" ca="1" si="9"/>
        <v>0</v>
      </c>
    </row>
    <row r="10" spans="1:30">
      <c r="B10" s="4">
        <v>8</v>
      </c>
      <c r="C10" s="27">
        <v>0</v>
      </c>
      <c r="D10" s="27">
        <v>0</v>
      </c>
      <c r="E10" s="27">
        <v>0</v>
      </c>
      <c r="F10" s="27"/>
      <c r="G10" s="28">
        <f t="shared" si="10"/>
        <v>-64600</v>
      </c>
      <c r="H10" s="28">
        <f t="shared" si="0"/>
        <v>-72702.400000000009</v>
      </c>
      <c r="I10" s="28">
        <f t="shared" si="11"/>
        <v>-35210.400000000001</v>
      </c>
      <c r="J10" s="29">
        <f t="shared" si="12"/>
        <v>0</v>
      </c>
      <c r="K10" s="29">
        <f t="shared" si="13"/>
        <v>0</v>
      </c>
      <c r="L10" s="29">
        <f t="shared" ca="1" si="1"/>
        <v>0</v>
      </c>
      <c r="M10" s="29">
        <f t="shared" si="14"/>
        <v>-8600</v>
      </c>
      <c r="N10" s="29">
        <f t="shared" ca="1" si="2"/>
        <v>0</v>
      </c>
      <c r="O10" s="29">
        <f t="shared" si="15"/>
        <v>-7000</v>
      </c>
      <c r="P10" s="29">
        <f t="shared" ca="1" si="3"/>
        <v>0</v>
      </c>
      <c r="Q10" s="29">
        <f t="shared" si="4"/>
        <v>0</v>
      </c>
      <c r="R10" s="34">
        <f t="shared" si="17"/>
        <v>511000</v>
      </c>
      <c r="S10" s="34">
        <f t="shared" si="16"/>
        <v>12.439200000000012</v>
      </c>
      <c r="T10" s="34">
        <f t="shared" si="18"/>
        <v>8.7600000000000087</v>
      </c>
      <c r="U10" s="34">
        <f t="shared" si="19"/>
        <v>4380</v>
      </c>
      <c r="V10" s="35">
        <f t="shared" si="20"/>
        <v>95866426.559999987</v>
      </c>
      <c r="W10" s="36">
        <f t="shared" ca="1" si="5"/>
        <v>116291065.69882686</v>
      </c>
      <c r="Y10" s="33">
        <f t="shared" ca="1" si="6"/>
        <v>0</v>
      </c>
      <c r="Z10" s="33">
        <f t="shared" ca="1" si="7"/>
        <v>0</v>
      </c>
      <c r="AA10" s="33">
        <f t="shared" ca="1" si="8"/>
        <v>0</v>
      </c>
      <c r="AB10" s="33">
        <f t="shared" ca="1" si="9"/>
        <v>0</v>
      </c>
    </row>
    <row r="11" spans="1:30">
      <c r="B11" s="4">
        <v>9</v>
      </c>
      <c r="C11" s="27">
        <v>0</v>
      </c>
      <c r="D11" s="27">
        <v>0</v>
      </c>
      <c r="E11" s="27">
        <v>0</v>
      </c>
      <c r="F11" s="27"/>
      <c r="G11" s="28">
        <f t="shared" si="10"/>
        <v>-64600</v>
      </c>
      <c r="H11" s="28">
        <f t="shared" si="0"/>
        <v>-72702.400000000009</v>
      </c>
      <c r="I11" s="28">
        <f t="shared" si="11"/>
        <v>-35210.400000000001</v>
      </c>
      <c r="J11" s="29">
        <f t="shared" si="12"/>
        <v>0</v>
      </c>
      <c r="K11" s="29">
        <f t="shared" si="13"/>
        <v>0</v>
      </c>
      <c r="L11" s="29">
        <f t="shared" ca="1" si="1"/>
        <v>-6000</v>
      </c>
      <c r="M11" s="29">
        <f t="shared" si="14"/>
        <v>-8600</v>
      </c>
      <c r="N11" s="29">
        <f t="shared" ca="1" si="2"/>
        <v>0</v>
      </c>
      <c r="O11" s="29">
        <f t="shared" si="15"/>
        <v>-7000</v>
      </c>
      <c r="P11" s="29">
        <f t="shared" ca="1" si="3"/>
        <v>0</v>
      </c>
      <c r="Q11" s="29">
        <f t="shared" si="4"/>
        <v>0</v>
      </c>
      <c r="R11" s="34">
        <f t="shared" si="17"/>
        <v>511000</v>
      </c>
      <c r="S11" s="34">
        <f t="shared" si="16"/>
        <v>12.439200000000012</v>
      </c>
      <c r="T11" s="34">
        <f t="shared" si="18"/>
        <v>8.7600000000000087</v>
      </c>
      <c r="U11" s="34">
        <f t="shared" si="19"/>
        <v>4380</v>
      </c>
      <c r="V11" s="35">
        <f t="shared" si="20"/>
        <v>95866426.559999987</v>
      </c>
      <c r="W11" s="36">
        <f t="shared" ca="1" si="5"/>
        <v>119074623.63536298</v>
      </c>
      <c r="Y11" s="33">
        <f t="shared" ca="1" si="6"/>
        <v>0</v>
      </c>
      <c r="Z11" s="33">
        <f t="shared" ca="1" si="7"/>
        <v>6000</v>
      </c>
      <c r="AA11" s="33">
        <f t="shared" ca="1" si="8"/>
        <v>0</v>
      </c>
      <c r="AB11" s="33">
        <f t="shared" ca="1" si="9"/>
        <v>0</v>
      </c>
    </row>
    <row r="12" spans="1:30">
      <c r="B12" s="4">
        <v>10</v>
      </c>
      <c r="C12" s="27">
        <v>0</v>
      </c>
      <c r="D12" s="27">
        <v>0</v>
      </c>
      <c r="E12" s="27">
        <v>0</v>
      </c>
      <c r="F12" s="27"/>
      <c r="G12" s="28">
        <f t="shared" si="10"/>
        <v>-64600</v>
      </c>
      <c r="H12" s="28">
        <f t="shared" si="0"/>
        <v>-72702.400000000009</v>
      </c>
      <c r="I12" s="28">
        <f t="shared" si="11"/>
        <v>-35210.400000000001</v>
      </c>
      <c r="J12" s="29">
        <f t="shared" si="12"/>
        <v>0</v>
      </c>
      <c r="K12" s="29">
        <f t="shared" si="13"/>
        <v>0</v>
      </c>
      <c r="L12" s="29">
        <f t="shared" ca="1" si="1"/>
        <v>-6000</v>
      </c>
      <c r="M12" s="29">
        <f t="shared" si="14"/>
        <v>-8600</v>
      </c>
      <c r="N12" s="29">
        <f t="shared" ca="1" si="2"/>
        <v>0</v>
      </c>
      <c r="O12" s="29">
        <f t="shared" si="15"/>
        <v>-7000</v>
      </c>
      <c r="P12" s="29">
        <f t="shared" ca="1" si="3"/>
        <v>0</v>
      </c>
      <c r="Q12" s="29">
        <f t="shared" si="4"/>
        <v>0</v>
      </c>
      <c r="R12" s="34">
        <f t="shared" si="17"/>
        <v>511000</v>
      </c>
      <c r="S12" s="34">
        <f t="shared" si="16"/>
        <v>12.439200000000012</v>
      </c>
      <c r="T12" s="34">
        <f t="shared" si="18"/>
        <v>8.7600000000000087</v>
      </c>
      <c r="U12" s="34">
        <f t="shared" si="19"/>
        <v>4380</v>
      </c>
      <c r="V12" s="35">
        <f t="shared" si="20"/>
        <v>95866426.559999987</v>
      </c>
      <c r="W12" s="36">
        <f t="shared" ca="1" si="5"/>
        <v>121932414.60261171</v>
      </c>
      <c r="Y12" s="33">
        <f t="shared" ca="1" si="6"/>
        <v>0</v>
      </c>
      <c r="Z12" s="33">
        <f t="shared" ca="1" si="7"/>
        <v>6000</v>
      </c>
      <c r="AA12" s="33">
        <f t="shared" ca="1" si="8"/>
        <v>0</v>
      </c>
      <c r="AB12" s="33">
        <f t="shared" ca="1" si="9"/>
        <v>0</v>
      </c>
    </row>
    <row r="13" spans="1:30">
      <c r="V13" s="37" t="s">
        <v>5</v>
      </c>
      <c r="W13" s="38">
        <f ca="1">NPV($B$30,W3:W12)</f>
        <v>669109706.87381911</v>
      </c>
    </row>
    <row r="14" spans="1:30">
      <c r="V14" s="39" t="s">
        <v>6</v>
      </c>
      <c r="W14" s="40">
        <f ca="1">-PMT($B$30,COUNTA(W3:W12),$W$13)</f>
        <v>95266169.115333393</v>
      </c>
    </row>
    <row r="16" spans="1:30">
      <c r="V16" t="s">
        <v>47</v>
      </c>
      <c r="W16" s="41">
        <v>3502083.5632532728</v>
      </c>
    </row>
    <row r="17" spans="1:23">
      <c r="I17" s="41"/>
      <c r="V17" s="41" t="s">
        <v>48</v>
      </c>
      <c r="W17" s="41">
        <v>498617.91207855201</v>
      </c>
    </row>
    <row r="24" spans="1:23">
      <c r="A24" s="4" t="s">
        <v>49</v>
      </c>
      <c r="B24" s="5" t="s">
        <v>8</v>
      </c>
      <c r="C24" s="5" t="s">
        <v>9</v>
      </c>
      <c r="E24" s="4" t="s">
        <v>50</v>
      </c>
      <c r="F24" s="5"/>
      <c r="G24" s="5"/>
    </row>
    <row r="25" spans="1:23" ht="28.5" customHeight="1">
      <c r="A25" s="5" t="s">
        <v>51</v>
      </c>
      <c r="B25" s="5">
        <v>323</v>
      </c>
      <c r="C25" s="5" t="s">
        <v>52</v>
      </c>
      <c r="E25" s="25" t="s">
        <v>70</v>
      </c>
      <c r="F25" s="5">
        <v>100</v>
      </c>
      <c r="G25" s="5" t="s">
        <v>30</v>
      </c>
    </row>
    <row r="26" spans="1:23">
      <c r="A26" s="5" t="s">
        <v>67</v>
      </c>
      <c r="B26" s="5">
        <v>86</v>
      </c>
      <c r="C26" s="5" t="s">
        <v>15</v>
      </c>
      <c r="E26" s="15" t="s">
        <v>31</v>
      </c>
      <c r="F26" s="16">
        <v>0.96</v>
      </c>
      <c r="G26" s="17" t="s">
        <v>32</v>
      </c>
    </row>
    <row r="27" spans="1:23">
      <c r="A27" s="5" t="s">
        <v>68</v>
      </c>
      <c r="B27" s="5">
        <v>72</v>
      </c>
      <c r="C27" s="5" t="s">
        <v>18</v>
      </c>
      <c r="E27" s="5" t="s">
        <v>71</v>
      </c>
      <c r="F27" s="5">
        <v>200</v>
      </c>
      <c r="G27" s="5" t="s">
        <v>69</v>
      </c>
    </row>
    <row r="28" spans="1:23">
      <c r="A28" s="5" t="s">
        <v>20</v>
      </c>
      <c r="B28" s="5">
        <v>100</v>
      </c>
      <c r="C28" s="5" t="s">
        <v>21</v>
      </c>
      <c r="E28" s="5" t="s">
        <v>100</v>
      </c>
      <c r="F28" s="5">
        <v>35</v>
      </c>
      <c r="G28" s="5" t="s">
        <v>53</v>
      </c>
    </row>
    <row r="29" spans="1:23">
      <c r="A29" s="9" t="s">
        <v>23</v>
      </c>
      <c r="B29" s="12">
        <v>2.4E-2</v>
      </c>
      <c r="E29" s="5" t="s">
        <v>54</v>
      </c>
      <c r="F29" s="5">
        <v>100</v>
      </c>
      <c r="G29" s="5" t="s">
        <v>18</v>
      </c>
    </row>
    <row r="30" spans="1:23">
      <c r="A30" s="9" t="s">
        <v>24</v>
      </c>
      <c r="B30" s="13">
        <v>7.0000000000000007E-2</v>
      </c>
      <c r="E30" s="57" t="s">
        <v>55</v>
      </c>
      <c r="F30" s="57">
        <v>0.14199999999999999</v>
      </c>
      <c r="G30" s="57" t="s">
        <v>28</v>
      </c>
    </row>
    <row r="31" spans="1:23">
      <c r="E31" s="5" t="s">
        <v>75</v>
      </c>
      <c r="F31" s="5">
        <v>0.1</v>
      </c>
      <c r="G31" s="5" t="s">
        <v>76</v>
      </c>
    </row>
    <row r="32" spans="1:23">
      <c r="E32" s="5" t="s">
        <v>77</v>
      </c>
      <c r="F32" s="5">
        <v>0.01</v>
      </c>
      <c r="G32" s="5" t="s">
        <v>78</v>
      </c>
    </row>
    <row r="33" spans="1:10">
      <c r="E33" s="5" t="s">
        <v>79</v>
      </c>
      <c r="F33" s="5">
        <v>276753</v>
      </c>
      <c r="G33" s="5" t="s">
        <v>56</v>
      </c>
    </row>
    <row r="34" spans="1:10">
      <c r="E34" s="5" t="s">
        <v>80</v>
      </c>
      <c r="F34" s="5">
        <v>0.2</v>
      </c>
      <c r="G34" s="5" t="s">
        <v>76</v>
      </c>
    </row>
    <row r="35" spans="1:10">
      <c r="E35" s="5" t="s">
        <v>72</v>
      </c>
      <c r="F35" s="5">
        <v>127224</v>
      </c>
      <c r="G35" s="5" t="s">
        <v>57</v>
      </c>
    </row>
    <row r="36" spans="1:10">
      <c r="E36" s="5" t="s">
        <v>73</v>
      </c>
      <c r="F36" s="5">
        <v>90883</v>
      </c>
      <c r="G36" s="5" t="s">
        <v>57</v>
      </c>
    </row>
    <row r="37" spans="1:10">
      <c r="E37" s="5" t="s">
        <v>74</v>
      </c>
      <c r="F37" s="5">
        <v>77068</v>
      </c>
      <c r="G37" s="5" t="s">
        <v>57</v>
      </c>
    </row>
    <row r="38" spans="1:10">
      <c r="E38" s="5" t="s">
        <v>101</v>
      </c>
      <c r="F38" s="5">
        <v>100</v>
      </c>
      <c r="G38" s="5" t="s">
        <v>34</v>
      </c>
    </row>
    <row r="39" spans="1:10">
      <c r="A39" s="58"/>
      <c r="B39" s="59"/>
      <c r="C39" s="42"/>
    </row>
    <row r="46" spans="1:10">
      <c r="A46" s="60" t="s">
        <v>58</v>
      </c>
      <c r="B46" s="60" t="s">
        <v>59</v>
      </c>
      <c r="C46" s="43" t="s">
        <v>60</v>
      </c>
      <c r="E46" s="44" t="s">
        <v>61</v>
      </c>
      <c r="F46" s="44" t="s">
        <v>62</v>
      </c>
      <c r="G46" s="44" t="s">
        <v>63</v>
      </c>
      <c r="H46" s="44"/>
      <c r="I46" s="44" t="s">
        <v>64</v>
      </c>
      <c r="J46" s="44"/>
    </row>
    <row r="47" spans="1:10" ht="72">
      <c r="A47" s="61" t="s">
        <v>102</v>
      </c>
      <c r="B47" s="62">
        <v>0.13</v>
      </c>
      <c r="C47" s="63">
        <v>52500</v>
      </c>
      <c r="E47" s="45">
        <v>0</v>
      </c>
      <c r="F47" s="45" t="s">
        <v>103</v>
      </c>
      <c r="G47" s="46">
        <v>8500</v>
      </c>
      <c r="H47" s="45" t="s">
        <v>35</v>
      </c>
      <c r="I47" s="47">
        <v>0.4</v>
      </c>
      <c r="J47" s="45" t="s">
        <v>104</v>
      </c>
    </row>
    <row r="48" spans="1:10" ht="86.4">
      <c r="A48" s="61" t="s">
        <v>105</v>
      </c>
      <c r="B48" s="62">
        <v>0.75</v>
      </c>
      <c r="C48" s="64">
        <v>6000</v>
      </c>
      <c r="E48" s="45">
        <v>0</v>
      </c>
      <c r="F48" s="45" t="s">
        <v>106</v>
      </c>
      <c r="G48" s="65">
        <v>6000</v>
      </c>
      <c r="H48" s="45" t="s">
        <v>36</v>
      </c>
      <c r="I48" s="47">
        <v>0.35</v>
      </c>
      <c r="J48" s="45" t="s">
        <v>107</v>
      </c>
    </row>
    <row r="49" spans="1:10" ht="43.2">
      <c r="A49" s="61" t="s">
        <v>108</v>
      </c>
      <c r="B49" s="62">
        <v>0.02</v>
      </c>
      <c r="C49" s="66">
        <v>40000</v>
      </c>
      <c r="E49" s="45">
        <v>0</v>
      </c>
      <c r="F49" s="45" t="s">
        <v>109</v>
      </c>
      <c r="G49" s="65">
        <v>12000</v>
      </c>
      <c r="H49" s="45" t="s">
        <v>36</v>
      </c>
      <c r="I49" s="47">
        <v>0.02</v>
      </c>
      <c r="J49" s="45" t="s">
        <v>110</v>
      </c>
    </row>
    <row r="50" spans="1:10" ht="57.6">
      <c r="A50" s="48" t="s">
        <v>111</v>
      </c>
      <c r="B50" s="67">
        <v>0.12</v>
      </c>
      <c r="C50" s="68">
        <v>18000</v>
      </c>
      <c r="E50" s="45">
        <v>0</v>
      </c>
      <c r="F50" s="45" t="s">
        <v>112</v>
      </c>
      <c r="G50" s="65">
        <v>9000</v>
      </c>
      <c r="H50" s="45" t="s">
        <v>35</v>
      </c>
      <c r="I50" s="47">
        <v>0.22</v>
      </c>
      <c r="J50" s="45" t="s">
        <v>113</v>
      </c>
    </row>
    <row r="52" spans="1:10">
      <c r="A52" t="s">
        <v>65</v>
      </c>
    </row>
  </sheetData>
  <mergeCells count="5">
    <mergeCell ref="C1:F1"/>
    <mergeCell ref="G1:Q1"/>
    <mergeCell ref="R1:V1"/>
    <mergeCell ref="Y1:AD1"/>
    <mergeCell ref="A3:A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58A3-BD68-4EEB-8A6F-646F1C9E5429}">
  <dimension ref="A1:L501"/>
  <sheetViews>
    <sheetView zoomScale="64" workbookViewId="0">
      <selection activeCell="B3" sqref="B3"/>
    </sheetView>
  </sheetViews>
  <sheetFormatPr defaultRowHeight="14.4"/>
  <cols>
    <col min="2" max="2" width="17" customWidth="1"/>
    <col min="3" max="3" width="15.77734375" customWidth="1"/>
    <col min="10" max="10" width="23.77734375" bestFit="1" customWidth="1"/>
    <col min="11" max="11" width="20.77734375" customWidth="1"/>
    <col min="12" max="12" width="17.5546875" customWidth="1"/>
  </cols>
  <sheetData>
    <row r="1" spans="1:12">
      <c r="A1" t="s">
        <v>81</v>
      </c>
      <c r="B1" t="s">
        <v>5</v>
      </c>
      <c r="C1" t="s">
        <v>6</v>
      </c>
      <c r="J1" s="49"/>
      <c r="K1" s="49" t="s">
        <v>5</v>
      </c>
      <c r="L1" s="49" t="s">
        <v>6</v>
      </c>
    </row>
    <row r="2" spans="1:12">
      <c r="A2">
        <v>1</v>
      </c>
      <c r="B2" s="50">
        <f ca="1">Stochastic!W13</f>
        <v>669109706.87381911</v>
      </c>
      <c r="C2" s="50">
        <f ca="1">Stochastic!W14</f>
        <v>95266169.115333393</v>
      </c>
      <c r="J2" s="49" t="s">
        <v>82</v>
      </c>
      <c r="K2" s="51">
        <f ca="1">AVERAGE(B2:B501)</f>
        <v>669083618.05104256</v>
      </c>
      <c r="L2" s="52">
        <f ca="1">AVERAGE(C2:C501)</f>
        <v>95262454.653897405</v>
      </c>
    </row>
    <row r="3" spans="1:12">
      <c r="A3">
        <f>A2+1</f>
        <v>2</v>
      </c>
      <c r="B3" s="50">
        <f t="dataTable" ref="B3:C501" dt2D="0" dtr="0" r1="D2" ca="1"/>
        <v>669060874.7349745</v>
      </c>
      <c r="C3" s="50">
        <v>95259216.517351851</v>
      </c>
      <c r="J3" s="49" t="s">
        <v>83</v>
      </c>
      <c r="K3" s="53">
        <f ca="1">_xlfn.STDEV.S(B2:B501)</f>
        <v>21525.413624588415</v>
      </c>
      <c r="L3" s="53">
        <f ca="1">_xlfn.STDEV.S(C2:C501)</f>
        <v>3064.7346370427508</v>
      </c>
    </row>
    <row r="4" spans="1:12">
      <c r="A4">
        <f>A3+1</f>
        <v>3</v>
      </c>
      <c r="B4" s="50">
        <v>669059131.97310519</v>
      </c>
      <c r="C4" s="50">
        <v>95258968.38726905</v>
      </c>
      <c r="J4" s="49" t="s">
        <v>84</v>
      </c>
      <c r="K4" s="54">
        <f ca="1">COUNTIF(B2:B501,"&gt;"&amp;0)/500</f>
        <v>1</v>
      </c>
      <c r="L4" s="55">
        <f ca="1">COUNTIF(C2:C501,"&gt;"&amp;0)/500</f>
        <v>1</v>
      </c>
    </row>
    <row r="5" spans="1:12">
      <c r="A5">
        <f t="shared" ref="A5:A68" si="0">A4+1</f>
        <v>4</v>
      </c>
      <c r="B5" s="50">
        <v>669071444.86948466</v>
      </c>
      <c r="C5" s="50">
        <v>95260721.466706902</v>
      </c>
      <c r="J5" s="49" t="s">
        <v>85</v>
      </c>
      <c r="K5" s="51">
        <f ca="1">K2+_xlfn.CONFIDENCE.T(0.05,K3,500)</f>
        <v>669085509.38946462</v>
      </c>
      <c r="L5" s="52">
        <f ca="1">L2+_xlfn.CONFIDENCE.T(0.05,L3,500)</f>
        <v>95262723.93793875</v>
      </c>
    </row>
    <row r="6" spans="1:12">
      <c r="A6">
        <f t="shared" si="0"/>
        <v>5</v>
      </c>
      <c r="B6" s="50">
        <v>669091403.72226429</v>
      </c>
      <c r="C6" s="50">
        <v>95263563.158322975</v>
      </c>
      <c r="J6" s="49" t="s">
        <v>86</v>
      </c>
      <c r="K6" s="51">
        <f ca="1">K2-_xlfn.CONFIDENCE.T(0.05,K3,500)</f>
        <v>669081726.7126205</v>
      </c>
      <c r="L6" s="52">
        <f ca="1">L2-_xlfn.CONFIDENCE.T(0.05,L3,500)</f>
        <v>95262185.36985606</v>
      </c>
    </row>
    <row r="7" spans="1:12">
      <c r="A7">
        <f t="shared" si="0"/>
        <v>6</v>
      </c>
      <c r="B7" s="50">
        <v>669096410.65504658</v>
      </c>
      <c r="C7" s="50">
        <v>95264276.032908842</v>
      </c>
    </row>
    <row r="8" spans="1:12">
      <c r="A8">
        <f t="shared" si="0"/>
        <v>7</v>
      </c>
      <c r="B8" s="50">
        <v>669091542.82925427</v>
      </c>
      <c r="C8" s="50">
        <v>95263582.96402882</v>
      </c>
    </row>
    <row r="9" spans="1:12">
      <c r="A9">
        <f t="shared" si="0"/>
        <v>8</v>
      </c>
      <c r="B9" s="50">
        <v>669093071.5411216</v>
      </c>
      <c r="C9" s="50">
        <v>95263800.618206874</v>
      </c>
    </row>
    <row r="10" spans="1:12">
      <c r="A10">
        <f t="shared" si="0"/>
        <v>9</v>
      </c>
      <c r="B10" s="50">
        <v>669119258.17461848</v>
      </c>
      <c r="C10" s="50">
        <v>95267529.00568901</v>
      </c>
    </row>
    <row r="11" spans="1:12">
      <c r="A11">
        <f t="shared" si="0"/>
        <v>10</v>
      </c>
      <c r="B11" s="50">
        <v>669102573.53689575</v>
      </c>
      <c r="C11" s="50">
        <v>95265153.488636136</v>
      </c>
    </row>
    <row r="12" spans="1:12">
      <c r="A12">
        <f t="shared" si="0"/>
        <v>11</v>
      </c>
      <c r="B12" s="50">
        <v>669070055.50460756</v>
      </c>
      <c r="C12" s="50">
        <v>95260523.652405336</v>
      </c>
    </row>
    <row r="13" spans="1:12">
      <c r="A13">
        <f t="shared" si="0"/>
        <v>12</v>
      </c>
      <c r="B13" s="50">
        <v>669075957.90607858</v>
      </c>
      <c r="C13" s="50">
        <v>95261364.021586865</v>
      </c>
    </row>
    <row r="14" spans="1:12">
      <c r="A14">
        <f t="shared" si="0"/>
        <v>13</v>
      </c>
      <c r="B14" s="50">
        <v>669110513.48646486</v>
      </c>
      <c r="C14" s="50">
        <v>95266283.958827555</v>
      </c>
    </row>
    <row r="15" spans="1:12">
      <c r="A15">
        <f t="shared" si="0"/>
        <v>14</v>
      </c>
      <c r="B15" s="50">
        <v>669105603.15533566</v>
      </c>
      <c r="C15" s="50">
        <v>95265584.838143811</v>
      </c>
    </row>
    <row r="16" spans="1:12">
      <c r="A16">
        <f t="shared" si="0"/>
        <v>15</v>
      </c>
      <c r="B16" s="50">
        <v>669075812.02319181</v>
      </c>
      <c r="C16" s="50">
        <v>95261343.251145765</v>
      </c>
    </row>
    <row r="17" spans="1:3">
      <c r="A17">
        <f t="shared" si="0"/>
        <v>16</v>
      </c>
      <c r="B17" s="50">
        <v>669083299.49710596</v>
      </c>
      <c r="C17" s="50">
        <v>95262409.298983395</v>
      </c>
    </row>
    <row r="18" spans="1:3">
      <c r="A18">
        <f t="shared" si="0"/>
        <v>17</v>
      </c>
      <c r="B18" s="50">
        <v>669112128.26092279</v>
      </c>
      <c r="C18" s="50">
        <v>95266513.866382346</v>
      </c>
    </row>
    <row r="19" spans="1:3">
      <c r="A19">
        <f t="shared" si="0"/>
        <v>18</v>
      </c>
      <c r="B19" s="50">
        <v>669115589.88181996</v>
      </c>
      <c r="C19" s="50">
        <v>95267006.72332108</v>
      </c>
    </row>
    <row r="20" spans="1:3">
      <c r="A20">
        <f t="shared" si="0"/>
        <v>19</v>
      </c>
      <c r="B20" s="50">
        <v>669098376.15114868</v>
      </c>
      <c r="C20" s="50">
        <v>95264555.875335485</v>
      </c>
    </row>
    <row r="21" spans="1:3">
      <c r="A21">
        <f t="shared" si="0"/>
        <v>20</v>
      </c>
      <c r="B21" s="50">
        <v>669077038.40909898</v>
      </c>
      <c r="C21" s="50">
        <v>95261517.860908613</v>
      </c>
    </row>
    <row r="22" spans="1:3">
      <c r="A22">
        <f t="shared" si="0"/>
        <v>21</v>
      </c>
      <c r="B22" s="50">
        <v>669101151.82942545</v>
      </c>
      <c r="C22" s="50">
        <v>95264951.069476902</v>
      </c>
    </row>
    <row r="23" spans="1:3">
      <c r="A23">
        <f t="shared" si="0"/>
        <v>22</v>
      </c>
      <c r="B23" s="50">
        <v>669090336.62698686</v>
      </c>
      <c r="C23" s="50">
        <v>95263411.227962211</v>
      </c>
    </row>
    <row r="24" spans="1:3">
      <c r="A24">
        <f t="shared" si="0"/>
        <v>23</v>
      </c>
      <c r="B24" s="50">
        <v>669050286.2955879</v>
      </c>
      <c r="C24" s="50">
        <v>95257708.961794212</v>
      </c>
    </row>
    <row r="25" spans="1:3">
      <c r="A25">
        <f t="shared" si="0"/>
        <v>24</v>
      </c>
      <c r="B25" s="50">
        <v>669080185.08171451</v>
      </c>
      <c r="C25" s="50">
        <v>95261965.876297504</v>
      </c>
    </row>
    <row r="26" spans="1:3">
      <c r="A26">
        <f t="shared" si="0"/>
        <v>25</v>
      </c>
      <c r="B26" s="50">
        <v>669101922.52843702</v>
      </c>
      <c r="C26" s="50">
        <v>95265060.799677521</v>
      </c>
    </row>
    <row r="27" spans="1:3">
      <c r="A27">
        <f t="shared" si="0"/>
        <v>26</v>
      </c>
      <c r="B27" s="50">
        <v>669080832.3971132</v>
      </c>
      <c r="C27" s="50">
        <v>95262058.039447442</v>
      </c>
    </row>
    <row r="28" spans="1:3">
      <c r="A28">
        <f t="shared" si="0"/>
        <v>27</v>
      </c>
      <c r="B28" s="50">
        <v>669104708.87653029</v>
      </c>
      <c r="C28" s="50">
        <v>95265457.512960762</v>
      </c>
    </row>
    <row r="29" spans="1:3">
      <c r="A29">
        <f t="shared" si="0"/>
        <v>28</v>
      </c>
      <c r="B29" s="50">
        <v>669075845.37289727</v>
      </c>
      <c r="C29" s="50">
        <v>95261347.999393538</v>
      </c>
    </row>
    <row r="30" spans="1:3">
      <c r="A30">
        <f t="shared" si="0"/>
        <v>29</v>
      </c>
      <c r="B30" s="50">
        <v>669074666.27487719</v>
      </c>
      <c r="C30" s="50">
        <v>95261180.122361973</v>
      </c>
    </row>
    <row r="31" spans="1:3">
      <c r="A31">
        <f t="shared" si="0"/>
        <v>30</v>
      </c>
      <c r="B31" s="50">
        <v>669076197.59098351</v>
      </c>
      <c r="C31" s="50">
        <v>95261398.147325069</v>
      </c>
    </row>
    <row r="32" spans="1:3">
      <c r="A32">
        <f t="shared" si="0"/>
        <v>31</v>
      </c>
      <c r="B32" s="50">
        <v>669043909.30928516</v>
      </c>
      <c r="C32" s="50">
        <v>95256801.022409499</v>
      </c>
    </row>
    <row r="33" spans="1:3">
      <c r="A33">
        <f t="shared" si="0"/>
        <v>32</v>
      </c>
      <c r="B33" s="50">
        <v>669091714.4143908</v>
      </c>
      <c r="C33" s="50">
        <v>95263607.393892065</v>
      </c>
    </row>
    <row r="34" spans="1:3">
      <c r="A34">
        <f t="shared" si="0"/>
        <v>33</v>
      </c>
      <c r="B34" s="50">
        <v>669092192.09872079</v>
      </c>
      <c r="C34" s="50">
        <v>95263675.405394062</v>
      </c>
    </row>
    <row r="35" spans="1:3">
      <c r="A35">
        <f t="shared" si="0"/>
        <v>34</v>
      </c>
      <c r="B35" s="50">
        <v>669066564.38259578</v>
      </c>
      <c r="C35" s="50">
        <v>95260026.595171586</v>
      </c>
    </row>
    <row r="36" spans="1:3">
      <c r="A36">
        <f t="shared" si="0"/>
        <v>35</v>
      </c>
      <c r="B36" s="50">
        <v>669091261.89071941</v>
      </c>
      <c r="C36" s="50">
        <v>95263542.964701816</v>
      </c>
    </row>
    <row r="37" spans="1:3">
      <c r="A37">
        <f t="shared" si="0"/>
        <v>36</v>
      </c>
      <c r="B37" s="50">
        <v>669110330.92279243</v>
      </c>
      <c r="C37" s="50">
        <v>95266257.965867788</v>
      </c>
    </row>
    <row r="38" spans="1:3">
      <c r="A38">
        <f t="shared" si="0"/>
        <v>37</v>
      </c>
      <c r="B38" s="50">
        <v>669089167.80512559</v>
      </c>
      <c r="C38" s="50">
        <v>95263244.814024463</v>
      </c>
    </row>
    <row r="39" spans="1:3">
      <c r="A39">
        <f t="shared" si="0"/>
        <v>38</v>
      </c>
      <c r="B39" s="50">
        <v>669059722.85118115</v>
      </c>
      <c r="C39" s="50">
        <v>95259052.515013933</v>
      </c>
    </row>
    <row r="40" spans="1:3">
      <c r="A40">
        <f t="shared" si="0"/>
        <v>39</v>
      </c>
      <c r="B40" s="50">
        <v>669069360.88690019</v>
      </c>
      <c r="C40" s="50">
        <v>95260424.754470795</v>
      </c>
    </row>
    <row r="41" spans="1:3">
      <c r="A41">
        <f t="shared" si="0"/>
        <v>40</v>
      </c>
      <c r="B41" s="50">
        <v>669056428.90606833</v>
      </c>
      <c r="C41" s="50">
        <v>95258583.531334653</v>
      </c>
    </row>
    <row r="42" spans="1:3">
      <c r="A42">
        <f t="shared" si="0"/>
        <v>41</v>
      </c>
      <c r="B42" s="50">
        <v>669091007.01374161</v>
      </c>
      <c r="C42" s="50">
        <v>95263506.675954208</v>
      </c>
    </row>
    <row r="43" spans="1:3">
      <c r="A43">
        <f t="shared" si="0"/>
        <v>42</v>
      </c>
      <c r="B43" s="50">
        <v>669089069.36524284</v>
      </c>
      <c r="C43" s="50">
        <v>95263230.798399791</v>
      </c>
    </row>
    <row r="44" spans="1:3">
      <c r="A44">
        <f t="shared" si="0"/>
        <v>43</v>
      </c>
      <c r="B44" s="50">
        <v>669093547.20715725</v>
      </c>
      <c r="C44" s="50">
        <v>95263868.342349172</v>
      </c>
    </row>
    <row r="45" spans="1:3">
      <c r="A45">
        <f t="shared" si="0"/>
        <v>44</v>
      </c>
      <c r="B45" s="50">
        <v>669097641.1928128</v>
      </c>
      <c r="C45" s="50">
        <v>95264451.233803004</v>
      </c>
    </row>
    <row r="46" spans="1:3">
      <c r="A46">
        <f t="shared" si="0"/>
        <v>45</v>
      </c>
      <c r="B46" s="50">
        <v>669099449.91750276</v>
      </c>
      <c r="C46" s="50">
        <v>95264708.755507484</v>
      </c>
    </row>
    <row r="47" spans="1:3">
      <c r="A47">
        <f t="shared" si="0"/>
        <v>46</v>
      </c>
      <c r="B47" s="50">
        <v>669072572.51957548</v>
      </c>
      <c r="C47" s="50">
        <v>95260882.018710792</v>
      </c>
    </row>
    <row r="48" spans="1:3">
      <c r="A48">
        <f t="shared" si="0"/>
        <v>47</v>
      </c>
      <c r="B48" s="50">
        <v>669070672.61434627</v>
      </c>
      <c r="C48" s="50">
        <v>95260611.51494883</v>
      </c>
    </row>
    <row r="49" spans="1:3">
      <c r="A49">
        <f t="shared" si="0"/>
        <v>48</v>
      </c>
      <c r="B49" s="50">
        <v>669087676.86192703</v>
      </c>
      <c r="C49" s="50">
        <v>95263032.537255138</v>
      </c>
    </row>
    <row r="50" spans="1:3">
      <c r="A50">
        <f t="shared" si="0"/>
        <v>49</v>
      </c>
      <c r="B50" s="50">
        <v>669071941.63690138</v>
      </c>
      <c r="C50" s="50">
        <v>95260792.195211127</v>
      </c>
    </row>
    <row r="51" spans="1:3">
      <c r="A51">
        <f t="shared" si="0"/>
        <v>50</v>
      </c>
      <c r="B51" s="50">
        <v>669086052.3166579</v>
      </c>
      <c r="C51" s="50">
        <v>95262801.238556668</v>
      </c>
    </row>
    <row r="52" spans="1:3">
      <c r="A52">
        <f t="shared" si="0"/>
        <v>51</v>
      </c>
      <c r="B52" s="50">
        <v>669076825.53929162</v>
      </c>
      <c r="C52" s="50">
        <v>95261487.553037032</v>
      </c>
    </row>
    <row r="53" spans="1:3">
      <c r="A53">
        <f t="shared" si="0"/>
        <v>52</v>
      </c>
      <c r="B53" s="50">
        <v>669119151.02552021</v>
      </c>
      <c r="C53" s="50">
        <v>95267513.750067979</v>
      </c>
    </row>
    <row r="54" spans="1:3">
      <c r="A54">
        <f t="shared" si="0"/>
        <v>53</v>
      </c>
      <c r="B54" s="50">
        <v>669059586.91076434</v>
      </c>
      <c r="C54" s="50">
        <v>95259033.160156861</v>
      </c>
    </row>
    <row r="55" spans="1:3">
      <c r="A55">
        <f t="shared" si="0"/>
        <v>54</v>
      </c>
      <c r="B55" s="50">
        <v>669073353.90013349</v>
      </c>
      <c r="C55" s="50">
        <v>95260993.269723326</v>
      </c>
    </row>
    <row r="56" spans="1:3">
      <c r="A56">
        <f t="shared" si="0"/>
        <v>55</v>
      </c>
      <c r="B56" s="50">
        <v>669061185.29427516</v>
      </c>
      <c r="C56" s="50">
        <v>95259260.734009534</v>
      </c>
    </row>
    <row r="57" spans="1:3">
      <c r="A57">
        <f t="shared" si="0"/>
        <v>56</v>
      </c>
      <c r="B57" s="50">
        <v>669120538.90354562</v>
      </c>
      <c r="C57" s="50">
        <v>95267711.352675319</v>
      </c>
    </row>
    <row r="58" spans="1:3">
      <c r="A58">
        <f t="shared" si="0"/>
        <v>57</v>
      </c>
      <c r="B58" s="50">
        <v>669102491.93509245</v>
      </c>
      <c r="C58" s="50">
        <v>95265141.870375156</v>
      </c>
    </row>
    <row r="59" spans="1:3">
      <c r="A59">
        <f t="shared" si="0"/>
        <v>58</v>
      </c>
      <c r="B59" s="50">
        <v>669098513.51694381</v>
      </c>
      <c r="C59" s="50">
        <v>95264575.433134362</v>
      </c>
    </row>
    <row r="60" spans="1:3">
      <c r="A60">
        <f t="shared" si="0"/>
        <v>59</v>
      </c>
      <c r="B60" s="50">
        <v>669083819.70795262</v>
      </c>
      <c r="C60" s="50">
        <v>95262483.365304634</v>
      </c>
    </row>
    <row r="61" spans="1:3">
      <c r="A61">
        <f t="shared" si="0"/>
        <v>60</v>
      </c>
      <c r="B61" s="50">
        <v>669070041.39241993</v>
      </c>
      <c r="C61" s="50">
        <v>95260521.643147305</v>
      </c>
    </row>
    <row r="62" spans="1:3">
      <c r="A62">
        <f t="shared" si="0"/>
        <v>61</v>
      </c>
      <c r="B62" s="50">
        <v>669074719.97489572</v>
      </c>
      <c r="C62" s="50">
        <v>95261187.768036515</v>
      </c>
    </row>
    <row r="63" spans="1:3">
      <c r="A63">
        <f t="shared" si="0"/>
        <v>62</v>
      </c>
      <c r="B63" s="50">
        <v>669060858.65662885</v>
      </c>
      <c r="C63" s="50">
        <v>95259214.228157163</v>
      </c>
    </row>
    <row r="64" spans="1:3">
      <c r="A64">
        <f t="shared" si="0"/>
        <v>63</v>
      </c>
      <c r="B64" s="50">
        <v>669074940.6123749</v>
      </c>
      <c r="C64" s="50">
        <v>95261219.181849793</v>
      </c>
    </row>
    <row r="65" spans="1:3">
      <c r="A65">
        <f t="shared" si="0"/>
        <v>64</v>
      </c>
      <c r="B65" s="50">
        <v>669105485.23881662</v>
      </c>
      <c r="C65" s="50">
        <v>95265568.049484313</v>
      </c>
    </row>
    <row r="66" spans="1:3">
      <c r="A66">
        <f t="shared" si="0"/>
        <v>65</v>
      </c>
      <c r="B66" s="50">
        <v>669114601.24962878</v>
      </c>
      <c r="C66" s="50">
        <v>95266865.964338571</v>
      </c>
    </row>
    <row r="67" spans="1:3">
      <c r="A67">
        <f t="shared" si="0"/>
        <v>66</v>
      </c>
      <c r="B67" s="50">
        <v>669104482.79044139</v>
      </c>
      <c r="C67" s="50">
        <v>95265425.32338804</v>
      </c>
    </row>
    <row r="68" spans="1:3">
      <c r="A68">
        <f t="shared" si="0"/>
        <v>67</v>
      </c>
      <c r="B68" s="50">
        <v>669081103.78370261</v>
      </c>
      <c r="C68" s="50">
        <v>95262096.678792328</v>
      </c>
    </row>
    <row r="69" spans="1:3">
      <c r="A69">
        <f t="shared" ref="A69:A132" si="1">A68+1</f>
        <v>68</v>
      </c>
      <c r="B69" s="50">
        <v>669076942.62637866</v>
      </c>
      <c r="C69" s="50">
        <v>95261504.223604068</v>
      </c>
    </row>
    <row r="70" spans="1:3">
      <c r="A70">
        <f t="shared" si="1"/>
        <v>69</v>
      </c>
      <c r="B70" s="50">
        <v>669106184.70236409</v>
      </c>
      <c r="C70" s="50">
        <v>95265667.637357458</v>
      </c>
    </row>
    <row r="71" spans="1:3">
      <c r="A71">
        <f t="shared" si="1"/>
        <v>70</v>
      </c>
      <c r="B71" s="50">
        <v>669022503.98441601</v>
      </c>
      <c r="C71" s="50">
        <v>95253753.385709569</v>
      </c>
    </row>
    <row r="72" spans="1:3">
      <c r="A72">
        <f t="shared" si="1"/>
        <v>71</v>
      </c>
      <c r="B72" s="50">
        <v>669097614.9615978</v>
      </c>
      <c r="C72" s="50">
        <v>95264447.499068126</v>
      </c>
    </row>
    <row r="73" spans="1:3">
      <c r="A73">
        <f t="shared" si="1"/>
        <v>72</v>
      </c>
      <c r="B73" s="50">
        <v>669090415.79753852</v>
      </c>
      <c r="C73" s="50">
        <v>95263422.500067636</v>
      </c>
    </row>
    <row r="74" spans="1:3">
      <c r="A74">
        <f t="shared" si="1"/>
        <v>73</v>
      </c>
      <c r="B74" s="50">
        <v>669105937.84761691</v>
      </c>
      <c r="C74" s="50">
        <v>95265632.490795001</v>
      </c>
    </row>
    <row r="75" spans="1:3">
      <c r="A75">
        <f t="shared" si="1"/>
        <v>74</v>
      </c>
      <c r="B75" s="50">
        <v>669106410.78845298</v>
      </c>
      <c r="C75" s="50">
        <v>95265699.82693018</v>
      </c>
    </row>
    <row r="76" spans="1:3">
      <c r="A76">
        <f t="shared" si="1"/>
        <v>75</v>
      </c>
      <c r="B76" s="50">
        <v>669068400.73316431</v>
      </c>
      <c r="C76" s="50">
        <v>95260288.05017966</v>
      </c>
    </row>
    <row r="77" spans="1:3">
      <c r="A77">
        <f t="shared" si="1"/>
        <v>76</v>
      </c>
      <c r="B77" s="50">
        <v>669104664.28129184</v>
      </c>
      <c r="C77" s="50">
        <v>95265451.163602099</v>
      </c>
    </row>
    <row r="78" spans="1:3">
      <c r="A78">
        <f t="shared" si="1"/>
        <v>77</v>
      </c>
      <c r="B78" s="50">
        <v>669108349.24615312</v>
      </c>
      <c r="C78" s="50">
        <v>95265975.81969668</v>
      </c>
    </row>
    <row r="79" spans="1:3">
      <c r="A79">
        <f t="shared" si="1"/>
        <v>78</v>
      </c>
      <c r="B79" s="50">
        <v>669091022.6028173</v>
      </c>
      <c r="C79" s="50">
        <v>95263508.895487875</v>
      </c>
    </row>
    <row r="80" spans="1:3">
      <c r="A80">
        <f t="shared" si="1"/>
        <v>79</v>
      </c>
      <c r="B80" s="50">
        <v>669113999.21559095</v>
      </c>
      <c r="C80" s="50">
        <v>95266780.248235717</v>
      </c>
    </row>
    <row r="81" spans="1:3">
      <c r="A81">
        <f t="shared" si="1"/>
        <v>80</v>
      </c>
      <c r="B81" s="50">
        <v>669105485.23881662</v>
      </c>
      <c r="C81" s="50">
        <v>95265568.049484313</v>
      </c>
    </row>
    <row r="82" spans="1:3">
      <c r="A82">
        <f t="shared" si="1"/>
        <v>81</v>
      </c>
      <c r="B82" s="50">
        <v>669060215.4269681</v>
      </c>
      <c r="C82" s="50">
        <v>95259122.646724373</v>
      </c>
    </row>
    <row r="83" spans="1:3">
      <c r="A83">
        <f t="shared" si="1"/>
        <v>82</v>
      </c>
      <c r="B83" s="50">
        <v>669075233.87756288</v>
      </c>
      <c r="C83" s="50">
        <v>95261260.936214894</v>
      </c>
    </row>
    <row r="84" spans="1:3">
      <c r="A84">
        <f t="shared" si="1"/>
        <v>83</v>
      </c>
      <c r="B84" s="50">
        <v>669083160.38614583</v>
      </c>
      <c r="C84" s="50">
        <v>95262389.492712289</v>
      </c>
    </row>
    <row r="85" spans="1:3">
      <c r="A85">
        <f t="shared" si="1"/>
        <v>84</v>
      </c>
      <c r="B85" s="50">
        <v>669107925.81489015</v>
      </c>
      <c r="C85" s="50">
        <v>95265915.532610863</v>
      </c>
    </row>
    <row r="86" spans="1:3">
      <c r="A86">
        <f t="shared" si="1"/>
        <v>85</v>
      </c>
      <c r="B86" s="50">
        <v>669099449.91750276</v>
      </c>
      <c r="C86" s="50">
        <v>95264708.755507484</v>
      </c>
    </row>
    <row r="87" spans="1:3">
      <c r="A87">
        <f t="shared" si="1"/>
        <v>86</v>
      </c>
      <c r="B87" s="50">
        <v>669093138.72027183</v>
      </c>
      <c r="C87" s="50">
        <v>95263810.183006525</v>
      </c>
    </row>
    <row r="88" spans="1:3">
      <c r="A88">
        <f t="shared" si="1"/>
        <v>87</v>
      </c>
      <c r="B88" s="50">
        <v>669086069.75199389</v>
      </c>
      <c r="C88" s="50">
        <v>95262803.720956251</v>
      </c>
    </row>
    <row r="89" spans="1:3">
      <c r="A89">
        <f t="shared" si="1"/>
        <v>88</v>
      </c>
      <c r="B89" s="50">
        <v>669014521.38077509</v>
      </c>
      <c r="C89" s="50">
        <v>95252616.84253791</v>
      </c>
    </row>
    <row r="90" spans="1:3">
      <c r="A90">
        <f t="shared" si="1"/>
        <v>89</v>
      </c>
      <c r="B90" s="50">
        <v>669101019.74622333</v>
      </c>
      <c r="C90" s="50">
        <v>95264932.263800442</v>
      </c>
    </row>
    <row r="91" spans="1:3">
      <c r="A91">
        <f t="shared" si="1"/>
        <v>90</v>
      </c>
      <c r="B91" s="50">
        <v>669092170.81645715</v>
      </c>
      <c r="C91" s="50">
        <v>95263672.375278503</v>
      </c>
    </row>
    <row r="92" spans="1:3">
      <c r="A92">
        <f t="shared" si="1"/>
        <v>91</v>
      </c>
      <c r="B92" s="50">
        <v>669093034.69745958</v>
      </c>
      <c r="C92" s="50">
        <v>95263795.372498304</v>
      </c>
    </row>
    <row r="93" spans="1:3">
      <c r="A93">
        <f t="shared" si="1"/>
        <v>92</v>
      </c>
      <c r="B93" s="50">
        <v>669083792.99198616</v>
      </c>
      <c r="C93" s="50">
        <v>95262479.561552048</v>
      </c>
    </row>
    <row r="94" spans="1:3">
      <c r="A94">
        <f t="shared" si="1"/>
        <v>93</v>
      </c>
      <c r="B94" s="50">
        <v>669070480.8993628</v>
      </c>
      <c r="C94" s="50">
        <v>95260584.219048262</v>
      </c>
    </row>
    <row r="95" spans="1:3">
      <c r="A95">
        <f t="shared" si="1"/>
        <v>94</v>
      </c>
      <c r="B95" s="50">
        <v>669094856.91144729</v>
      </c>
      <c r="C95" s="50">
        <v>95264054.814775288</v>
      </c>
    </row>
    <row r="96" spans="1:3">
      <c r="A96">
        <f t="shared" si="1"/>
        <v>95</v>
      </c>
      <c r="B96" s="50">
        <v>669062795.58038533</v>
      </c>
      <c r="C96" s="50">
        <v>95259490.002524585</v>
      </c>
    </row>
    <row r="97" spans="1:3">
      <c r="A97">
        <f t="shared" si="1"/>
        <v>96</v>
      </c>
      <c r="B97" s="50">
        <v>669090958.57166183</v>
      </c>
      <c r="C97" s="50">
        <v>95263499.778891861</v>
      </c>
    </row>
    <row r="98" spans="1:3">
      <c r="A98">
        <f t="shared" si="1"/>
        <v>97</v>
      </c>
      <c r="B98" s="50">
        <v>669101102.42084861</v>
      </c>
      <c r="C98" s="50">
        <v>95264944.034807116</v>
      </c>
    </row>
    <row r="99" spans="1:3">
      <c r="A99">
        <f t="shared" si="1"/>
        <v>98</v>
      </c>
      <c r="B99" s="50">
        <v>669079632.89626813</v>
      </c>
      <c r="C99" s="50">
        <v>95261887.257512614</v>
      </c>
    </row>
    <row r="100" spans="1:3">
      <c r="A100">
        <f t="shared" si="1"/>
        <v>99</v>
      </c>
      <c r="B100" s="50">
        <v>669043725.72338223</v>
      </c>
      <c r="C100" s="50">
        <v>95256774.883907124</v>
      </c>
    </row>
    <row r="101" spans="1:3">
      <c r="A101">
        <f t="shared" si="1"/>
        <v>100</v>
      </c>
      <c r="B101" s="50">
        <v>669089846.5000149</v>
      </c>
      <c r="C101" s="50">
        <v>95263341.444907919</v>
      </c>
    </row>
    <row r="102" spans="1:3">
      <c r="A102">
        <f t="shared" si="1"/>
        <v>101</v>
      </c>
      <c r="B102" s="50">
        <v>669034941.24524426</v>
      </c>
      <c r="C102" s="50">
        <v>95255524.17184706</v>
      </c>
    </row>
    <row r="103" spans="1:3">
      <c r="A103">
        <f t="shared" si="1"/>
        <v>102</v>
      </c>
      <c r="B103" s="50">
        <v>669105968.33586383</v>
      </c>
      <c r="C103" s="50">
        <v>95265636.83163546</v>
      </c>
    </row>
    <row r="104" spans="1:3">
      <c r="A104">
        <f t="shared" si="1"/>
        <v>103</v>
      </c>
      <c r="B104" s="50">
        <v>669087676.86192703</v>
      </c>
      <c r="C104" s="50">
        <v>95263032.537255138</v>
      </c>
    </row>
    <row r="105" spans="1:3">
      <c r="A105">
        <f t="shared" si="1"/>
        <v>104</v>
      </c>
      <c r="B105" s="50">
        <v>669054796.15218329</v>
      </c>
      <c r="C105" s="50">
        <v>95258351.063913926</v>
      </c>
    </row>
    <row r="106" spans="1:3">
      <c r="A106">
        <f t="shared" si="1"/>
        <v>105</v>
      </c>
      <c r="B106" s="50">
        <v>669114722.32575488</v>
      </c>
      <c r="C106" s="50">
        <v>95266883.202855051</v>
      </c>
    </row>
    <row r="107" spans="1:3">
      <c r="A107">
        <f t="shared" si="1"/>
        <v>106</v>
      </c>
      <c r="B107" s="50">
        <v>669071215.56641912</v>
      </c>
      <c r="C107" s="50">
        <v>95260688.819109082</v>
      </c>
    </row>
    <row r="108" spans="1:3">
      <c r="A108">
        <f t="shared" si="1"/>
        <v>107</v>
      </c>
      <c r="B108" s="50">
        <v>669081131.85176933</v>
      </c>
      <c r="C108" s="50">
        <v>95262100.675053567</v>
      </c>
    </row>
    <row r="109" spans="1:3">
      <c r="A109">
        <f t="shared" si="1"/>
        <v>108</v>
      </c>
      <c r="B109" s="50">
        <v>669097347.09971702</v>
      </c>
      <c r="C109" s="50">
        <v>95264409.361562476</v>
      </c>
    </row>
    <row r="110" spans="1:3">
      <c r="A110">
        <f t="shared" si="1"/>
        <v>109</v>
      </c>
      <c r="B110" s="50">
        <v>669089482.27564502</v>
      </c>
      <c r="C110" s="50">
        <v>95263289.587551698</v>
      </c>
    </row>
    <row r="111" spans="1:3">
      <c r="A111">
        <f t="shared" si="1"/>
        <v>110</v>
      </c>
      <c r="B111" s="50">
        <v>669095409.77335072</v>
      </c>
      <c r="C111" s="50">
        <v>95264133.529872462</v>
      </c>
    </row>
    <row r="112" spans="1:3">
      <c r="A112">
        <f t="shared" si="1"/>
        <v>111</v>
      </c>
      <c r="B112" s="50">
        <v>669107727.65197694</v>
      </c>
      <c r="C112" s="50">
        <v>95265887.318670154</v>
      </c>
    </row>
    <row r="113" spans="1:3">
      <c r="A113">
        <f t="shared" si="1"/>
        <v>112</v>
      </c>
      <c r="B113" s="50">
        <v>669052556.18252027</v>
      </c>
      <c r="C113" s="50">
        <v>95258032.14262712</v>
      </c>
    </row>
    <row r="114" spans="1:3">
      <c r="A114">
        <f t="shared" si="1"/>
        <v>113</v>
      </c>
      <c r="B114" s="50">
        <v>669045196.74372506</v>
      </c>
      <c r="C114" s="50">
        <v>95256984.324109986</v>
      </c>
    </row>
    <row r="115" spans="1:3">
      <c r="A115">
        <f t="shared" si="1"/>
        <v>114</v>
      </c>
      <c r="B115" s="50">
        <v>669105903.27544439</v>
      </c>
      <c r="C115" s="50">
        <v>95265627.568495423</v>
      </c>
    </row>
    <row r="116" spans="1:3">
      <c r="A116">
        <f t="shared" si="1"/>
        <v>115</v>
      </c>
      <c r="B116" s="50">
        <v>669065407.13399315</v>
      </c>
      <c r="C116" s="50">
        <v>95259861.829005495</v>
      </c>
    </row>
    <row r="117" spans="1:3">
      <c r="A117">
        <f t="shared" si="1"/>
        <v>116</v>
      </c>
      <c r="B117" s="50">
        <v>669118610.90553391</v>
      </c>
      <c r="C117" s="50">
        <v>95267436.849133149</v>
      </c>
    </row>
    <row r="118" spans="1:3">
      <c r="A118">
        <f t="shared" si="1"/>
        <v>117</v>
      </c>
      <c r="B118" s="50">
        <v>669077418.87483752</v>
      </c>
      <c r="C118" s="50">
        <v>95261572.03067033</v>
      </c>
    </row>
    <row r="119" spans="1:3">
      <c r="A119">
        <f t="shared" si="1"/>
        <v>118</v>
      </c>
      <c r="B119" s="50">
        <v>669078219.2297163</v>
      </c>
      <c r="C119" s="50">
        <v>95261685.983199269</v>
      </c>
    </row>
    <row r="120" spans="1:3">
      <c r="A120">
        <f t="shared" si="1"/>
        <v>119</v>
      </c>
      <c r="B120" s="50">
        <v>669097145.77833903</v>
      </c>
      <c r="C120" s="50">
        <v>95264380.697927415</v>
      </c>
    </row>
    <row r="121" spans="1:3">
      <c r="A121">
        <f t="shared" si="1"/>
        <v>120</v>
      </c>
      <c r="B121" s="50">
        <v>669072105.70674896</v>
      </c>
      <c r="C121" s="50">
        <v>95260815.555066317</v>
      </c>
    </row>
    <row r="122" spans="1:3">
      <c r="A122">
        <f t="shared" si="1"/>
        <v>121</v>
      </c>
      <c r="B122" s="50">
        <v>669093096.36609352</v>
      </c>
      <c r="C122" s="50">
        <v>95263804.152724385</v>
      </c>
    </row>
    <row r="123" spans="1:3">
      <c r="A123">
        <f t="shared" si="1"/>
        <v>122</v>
      </c>
      <c r="B123" s="50">
        <v>669065183.37695301</v>
      </c>
      <c r="C123" s="50">
        <v>95259829.971036896</v>
      </c>
    </row>
    <row r="124" spans="1:3">
      <c r="A124">
        <f t="shared" si="1"/>
        <v>123</v>
      </c>
      <c r="B124" s="50">
        <v>669076591.2469368</v>
      </c>
      <c r="C124" s="50">
        <v>95261454.195076644</v>
      </c>
    </row>
    <row r="125" spans="1:3">
      <c r="A125">
        <f t="shared" si="1"/>
        <v>124</v>
      </c>
      <c r="B125" s="50">
        <v>669074375.71695316</v>
      </c>
      <c r="C125" s="50">
        <v>95261138.753450349</v>
      </c>
    </row>
    <row r="126" spans="1:3">
      <c r="A126">
        <f t="shared" si="1"/>
        <v>125</v>
      </c>
      <c r="B126" s="50">
        <v>669075375.45801342</v>
      </c>
      <c r="C126" s="50">
        <v>95261281.094085872</v>
      </c>
    </row>
    <row r="127" spans="1:3">
      <c r="A127">
        <f t="shared" si="1"/>
        <v>126</v>
      </c>
      <c r="B127" s="50">
        <v>669114799.41254199</v>
      </c>
      <c r="C127" s="50">
        <v>95266894.17827931</v>
      </c>
    </row>
    <row r="128" spans="1:3">
      <c r="A128">
        <f t="shared" si="1"/>
        <v>127</v>
      </c>
      <c r="B128" s="50">
        <v>669113936.66173112</v>
      </c>
      <c r="C128" s="50">
        <v>95266771.341973379</v>
      </c>
    </row>
    <row r="129" spans="1:3">
      <c r="A129">
        <f t="shared" si="1"/>
        <v>128</v>
      </c>
      <c r="B129" s="50">
        <v>669072154.8742975</v>
      </c>
      <c r="C129" s="50">
        <v>95260822.555419087</v>
      </c>
    </row>
    <row r="130" spans="1:3">
      <c r="A130">
        <f t="shared" si="1"/>
        <v>129</v>
      </c>
      <c r="B130" s="50">
        <v>669098243.1714797</v>
      </c>
      <c r="C130" s="50">
        <v>95264536.942022294</v>
      </c>
    </row>
    <row r="131" spans="1:3">
      <c r="A131">
        <f t="shared" si="1"/>
        <v>130</v>
      </c>
      <c r="B131" s="50">
        <v>669076615.79557526</v>
      </c>
      <c r="C131" s="50">
        <v>95261457.690250486</v>
      </c>
    </row>
    <row r="132" spans="1:3">
      <c r="A132">
        <f t="shared" si="1"/>
        <v>131</v>
      </c>
      <c r="B132" s="50">
        <v>669062738.51722813</v>
      </c>
      <c r="C132" s="50">
        <v>95259481.878014758</v>
      </c>
    </row>
    <row r="133" spans="1:3">
      <c r="A133">
        <f t="shared" ref="A133:A196" si="2">A132+1</f>
        <v>132</v>
      </c>
      <c r="B133" s="50">
        <v>669080339.559587</v>
      </c>
      <c r="C133" s="50">
        <v>95261987.870471209</v>
      </c>
    </row>
    <row r="134" spans="1:3">
      <c r="A134">
        <f t="shared" si="2"/>
        <v>133</v>
      </c>
      <c r="B134" s="50">
        <v>669089303.13405812</v>
      </c>
      <c r="C134" s="50">
        <v>95263264.081819922</v>
      </c>
    </row>
    <row r="135" spans="1:3">
      <c r="A135">
        <f t="shared" si="2"/>
        <v>134</v>
      </c>
      <c r="B135" s="50">
        <v>669091196.29125762</v>
      </c>
      <c r="C135" s="50">
        <v>95263533.624814272</v>
      </c>
    </row>
    <row r="136" spans="1:3">
      <c r="A136">
        <f t="shared" si="2"/>
        <v>135</v>
      </c>
      <c r="B136" s="50">
        <v>669067963.79872358</v>
      </c>
      <c r="C136" s="50">
        <v>95260225.840545133</v>
      </c>
    </row>
    <row r="137" spans="1:3">
      <c r="A137">
        <f t="shared" si="2"/>
        <v>136</v>
      </c>
      <c r="B137" s="50">
        <v>669067600.5415231</v>
      </c>
      <c r="C137" s="50">
        <v>95260174.120892078</v>
      </c>
    </row>
    <row r="138" spans="1:3">
      <c r="A138">
        <f t="shared" si="2"/>
        <v>137</v>
      </c>
      <c r="B138" s="50">
        <v>669087866.56419861</v>
      </c>
      <c r="C138" s="50">
        <v>95263059.546590835</v>
      </c>
    </row>
    <row r="139" spans="1:3">
      <c r="A139">
        <f t="shared" si="2"/>
        <v>138</v>
      </c>
      <c r="B139" s="50">
        <v>669091086.08354855</v>
      </c>
      <c r="C139" s="50">
        <v>95263517.933715865</v>
      </c>
    </row>
    <row r="140" spans="1:3">
      <c r="A140">
        <f t="shared" si="2"/>
        <v>139</v>
      </c>
      <c r="B140" s="50">
        <v>669068430.85084653</v>
      </c>
      <c r="C140" s="50">
        <v>95260292.33826004</v>
      </c>
    </row>
    <row r="141" spans="1:3">
      <c r="A141">
        <f t="shared" si="2"/>
        <v>140</v>
      </c>
      <c r="B141" s="50">
        <v>669048870.7755568</v>
      </c>
      <c r="C141" s="50">
        <v>95257507.423587129</v>
      </c>
    </row>
    <row r="142" spans="1:3">
      <c r="A142">
        <f t="shared" si="2"/>
        <v>141</v>
      </c>
      <c r="B142" s="50">
        <v>669087777.74128163</v>
      </c>
      <c r="C142" s="50">
        <v>95263046.900205716</v>
      </c>
    </row>
    <row r="143" spans="1:3">
      <c r="A143">
        <f t="shared" si="2"/>
        <v>142</v>
      </c>
      <c r="B143" s="50">
        <v>669064674.47237611</v>
      </c>
      <c r="C143" s="50">
        <v>95259757.514474124</v>
      </c>
    </row>
    <row r="144" spans="1:3">
      <c r="A144">
        <f t="shared" si="2"/>
        <v>143</v>
      </c>
      <c r="B144" s="50">
        <v>669088105.84733331</v>
      </c>
      <c r="C144" s="50">
        <v>95263093.615125999</v>
      </c>
    </row>
    <row r="145" spans="1:3">
      <c r="A145">
        <f t="shared" si="2"/>
        <v>144</v>
      </c>
      <c r="B145" s="50">
        <v>669042567.57392633</v>
      </c>
      <c r="C145" s="50">
        <v>95256609.989479795</v>
      </c>
    </row>
    <row r="146" spans="1:3">
      <c r="A146">
        <f t="shared" si="2"/>
        <v>145</v>
      </c>
      <c r="B146" s="50">
        <v>669103497.86406493</v>
      </c>
      <c r="C146" s="50">
        <v>95265285.092030197</v>
      </c>
    </row>
    <row r="147" spans="1:3">
      <c r="A147">
        <f t="shared" si="2"/>
        <v>146</v>
      </c>
      <c r="B147" s="50">
        <v>669099821.05211318</v>
      </c>
      <c r="C147" s="50">
        <v>95264761.596726492</v>
      </c>
    </row>
    <row r="148" spans="1:3">
      <c r="A148">
        <f t="shared" si="2"/>
        <v>147</v>
      </c>
      <c r="B148" s="50">
        <v>669080815.73899758</v>
      </c>
      <c r="C148" s="50">
        <v>95262055.667706549</v>
      </c>
    </row>
    <row r="149" spans="1:3">
      <c r="A149">
        <f t="shared" si="2"/>
        <v>148</v>
      </c>
      <c r="B149" s="50">
        <v>669084035.67456508</v>
      </c>
      <c r="C149" s="50">
        <v>95262514.11409159</v>
      </c>
    </row>
    <row r="150" spans="1:3">
      <c r="A150">
        <f t="shared" si="2"/>
        <v>149</v>
      </c>
      <c r="B150" s="50">
        <v>669080311.15453517</v>
      </c>
      <c r="C150" s="50">
        <v>95261983.826230869</v>
      </c>
    </row>
    <row r="151" spans="1:3">
      <c r="A151">
        <f t="shared" si="2"/>
        <v>150</v>
      </c>
      <c r="B151" s="50">
        <v>669081429.17016602</v>
      </c>
      <c r="C151" s="50">
        <v>95262143.006504402</v>
      </c>
    </row>
    <row r="152" spans="1:3">
      <c r="A152">
        <f t="shared" si="2"/>
        <v>151</v>
      </c>
      <c r="B152" s="50">
        <v>669077647.301229</v>
      </c>
      <c r="C152" s="50">
        <v>95261604.553449497</v>
      </c>
    </row>
    <row r="153" spans="1:3">
      <c r="A153">
        <f t="shared" si="2"/>
        <v>152</v>
      </c>
      <c r="B153" s="50">
        <v>669090264.41047406</v>
      </c>
      <c r="C153" s="50">
        <v>95263400.945955455</v>
      </c>
    </row>
    <row r="154" spans="1:3">
      <c r="A154">
        <f t="shared" si="2"/>
        <v>153</v>
      </c>
      <c r="B154" s="50">
        <v>669069511.03205574</v>
      </c>
      <c r="C154" s="50">
        <v>95260446.131763101</v>
      </c>
    </row>
    <row r="155" spans="1:3">
      <c r="A155">
        <f t="shared" si="2"/>
        <v>154</v>
      </c>
      <c r="B155" s="50">
        <v>669099821.05211318</v>
      </c>
      <c r="C155" s="50">
        <v>95264761.596726492</v>
      </c>
    </row>
    <row r="156" spans="1:3">
      <c r="A156">
        <f t="shared" si="2"/>
        <v>155</v>
      </c>
      <c r="B156" s="50">
        <v>669086839.79410899</v>
      </c>
      <c r="C156" s="50">
        <v>95262913.357629597</v>
      </c>
    </row>
    <row r="157" spans="1:3">
      <c r="A157">
        <f t="shared" si="2"/>
        <v>156</v>
      </c>
      <c r="B157" s="50">
        <v>669080652.66719103</v>
      </c>
      <c r="C157" s="50">
        <v>95262032.449949965</v>
      </c>
    </row>
    <row r="158" spans="1:3">
      <c r="A158">
        <f t="shared" si="2"/>
        <v>157</v>
      </c>
      <c r="B158" s="50">
        <v>669100668.73237824</v>
      </c>
      <c r="C158" s="50">
        <v>95264882.287325755</v>
      </c>
    </row>
    <row r="159" spans="1:3">
      <c r="A159">
        <f t="shared" si="2"/>
        <v>158</v>
      </c>
      <c r="B159" s="50">
        <v>669026744.01123416</v>
      </c>
      <c r="C159" s="50">
        <v>95254357.070139423</v>
      </c>
    </row>
    <row r="160" spans="1:3">
      <c r="A160">
        <f t="shared" si="2"/>
        <v>159</v>
      </c>
      <c r="B160" s="50">
        <v>669098776.75353432</v>
      </c>
      <c r="C160" s="50">
        <v>95264612.912102744</v>
      </c>
    </row>
    <row r="161" spans="1:3">
      <c r="A161">
        <f t="shared" si="2"/>
        <v>160</v>
      </c>
      <c r="B161" s="50">
        <v>669091692.28664052</v>
      </c>
      <c r="C161" s="50">
        <v>95263604.243398234</v>
      </c>
    </row>
    <row r="162" spans="1:3">
      <c r="A162">
        <f t="shared" si="2"/>
        <v>161</v>
      </c>
      <c r="B162" s="50">
        <v>669088111.29213083</v>
      </c>
      <c r="C162" s="50">
        <v>95263094.390342683</v>
      </c>
    </row>
    <row r="163" spans="1:3">
      <c r="A163">
        <f t="shared" si="2"/>
        <v>162</v>
      </c>
      <c r="B163" s="50">
        <v>669079852.16734385</v>
      </c>
      <c r="C163" s="50">
        <v>95261918.476780787</v>
      </c>
    </row>
    <row r="164" spans="1:3">
      <c r="A164">
        <f t="shared" si="2"/>
        <v>163</v>
      </c>
      <c r="B164" s="50">
        <v>669083103.88227737</v>
      </c>
      <c r="C164" s="50">
        <v>95262381.447832599</v>
      </c>
    </row>
    <row r="165" spans="1:3">
      <c r="A165">
        <f t="shared" si="2"/>
        <v>164</v>
      </c>
      <c r="B165" s="50">
        <v>669063535.1176461</v>
      </c>
      <c r="C165" s="50">
        <v>95259595.295992941</v>
      </c>
    </row>
    <row r="166" spans="1:3">
      <c r="A166">
        <f t="shared" si="2"/>
        <v>165</v>
      </c>
      <c r="B166" s="50">
        <v>669028375.72973824</v>
      </c>
      <c r="C166" s="50">
        <v>95254589.390145198</v>
      </c>
    </row>
    <row r="167" spans="1:3">
      <c r="A167">
        <f t="shared" si="2"/>
        <v>166</v>
      </c>
      <c r="B167" s="50">
        <v>669033623.2976023</v>
      </c>
      <c r="C167" s="50">
        <v>95255336.525753066</v>
      </c>
    </row>
    <row r="168" spans="1:3">
      <c r="A168">
        <f t="shared" si="2"/>
        <v>167</v>
      </c>
      <c r="B168" s="50">
        <v>669105373.46442795</v>
      </c>
      <c r="C168" s="50">
        <v>95265552.135325983</v>
      </c>
    </row>
    <row r="169" spans="1:3">
      <c r="A169">
        <f t="shared" si="2"/>
        <v>168</v>
      </c>
      <c r="B169" s="50">
        <v>669039420.43691933</v>
      </c>
      <c r="C169" s="50">
        <v>95256161.907971993</v>
      </c>
    </row>
    <row r="170" spans="1:3">
      <c r="A170">
        <f t="shared" si="2"/>
        <v>169</v>
      </c>
      <c r="B170" s="50">
        <v>669024436.77611673</v>
      </c>
      <c r="C170" s="50">
        <v>95254028.571765214</v>
      </c>
    </row>
    <row r="171" spans="1:3">
      <c r="A171">
        <f t="shared" si="2"/>
        <v>170</v>
      </c>
      <c r="B171" s="50">
        <v>669104482.79044139</v>
      </c>
      <c r="C171" s="50">
        <v>95265425.32338804</v>
      </c>
    </row>
    <row r="172" spans="1:3">
      <c r="A172">
        <f t="shared" si="2"/>
        <v>171</v>
      </c>
      <c r="B172" s="50">
        <v>669100019.21502638</v>
      </c>
      <c r="C172" s="50">
        <v>95264789.810667202</v>
      </c>
    </row>
    <row r="173" spans="1:3">
      <c r="A173">
        <f t="shared" si="2"/>
        <v>172</v>
      </c>
      <c r="B173" s="50">
        <v>669091097.81653762</v>
      </c>
      <c r="C173" s="50">
        <v>95263519.604229555</v>
      </c>
    </row>
    <row r="174" spans="1:3">
      <c r="A174">
        <f t="shared" si="2"/>
        <v>173</v>
      </c>
      <c r="B174" s="50">
        <v>669087224.84564865</v>
      </c>
      <c r="C174" s="50">
        <v>95262968.180306241</v>
      </c>
    </row>
    <row r="175" spans="1:3">
      <c r="A175">
        <f t="shared" si="2"/>
        <v>174</v>
      </c>
      <c r="B175" s="50">
        <v>669105278.17405391</v>
      </c>
      <c r="C175" s="50">
        <v>95265538.568120494</v>
      </c>
    </row>
    <row r="176" spans="1:3">
      <c r="A176">
        <f t="shared" si="2"/>
        <v>175</v>
      </c>
      <c r="B176" s="50">
        <v>669104092.73550081</v>
      </c>
      <c r="C176" s="50">
        <v>95265369.788339674</v>
      </c>
    </row>
    <row r="177" spans="1:3">
      <c r="A177">
        <f t="shared" si="2"/>
        <v>176</v>
      </c>
      <c r="B177" s="50">
        <v>669052589.57636273</v>
      </c>
      <c r="C177" s="50">
        <v>95258036.897159025</v>
      </c>
    </row>
    <row r="178" spans="1:3">
      <c r="A178">
        <f t="shared" si="2"/>
        <v>177</v>
      </c>
      <c r="B178" s="50">
        <v>669088999.63483381</v>
      </c>
      <c r="C178" s="50">
        <v>95263220.870358288</v>
      </c>
    </row>
    <row r="179" spans="1:3">
      <c r="A179">
        <f t="shared" si="2"/>
        <v>178</v>
      </c>
      <c r="B179" s="50">
        <v>669088960.74036288</v>
      </c>
      <c r="C179" s="50">
        <v>95263215.332660645</v>
      </c>
    </row>
    <row r="180" spans="1:3">
      <c r="A180">
        <f t="shared" si="2"/>
        <v>179</v>
      </c>
      <c r="B180" s="50">
        <v>669043981.22139859</v>
      </c>
      <c r="C180" s="50">
        <v>95256811.261076644</v>
      </c>
    </row>
    <row r="181" spans="1:3">
      <c r="A181">
        <f t="shared" si="2"/>
        <v>180</v>
      </c>
      <c r="B181" s="50">
        <v>669105721.48111677</v>
      </c>
      <c r="C181" s="50">
        <v>95265601.685073048</v>
      </c>
    </row>
    <row r="182" spans="1:3">
      <c r="A182">
        <f t="shared" si="2"/>
        <v>181</v>
      </c>
      <c r="B182" s="50">
        <v>669079968.44562542</v>
      </c>
      <c r="C182" s="50">
        <v>95261935.032192141</v>
      </c>
    </row>
    <row r="183" spans="1:3">
      <c r="A183">
        <f t="shared" si="2"/>
        <v>182</v>
      </c>
      <c r="B183" s="50">
        <v>669102026.89766312</v>
      </c>
      <c r="C183" s="50">
        <v>95265075.659507304</v>
      </c>
    </row>
    <row r="184" spans="1:3">
      <c r="A184">
        <f t="shared" si="2"/>
        <v>183</v>
      </c>
      <c r="B184" s="50">
        <v>669056631.93330646</v>
      </c>
      <c r="C184" s="50">
        <v>95258612.437845796</v>
      </c>
    </row>
    <row r="185" spans="1:3">
      <c r="A185">
        <f t="shared" si="2"/>
        <v>184</v>
      </c>
      <c r="B185" s="50">
        <v>669057835.24823916</v>
      </c>
      <c r="C185" s="50">
        <v>95258783.762820914</v>
      </c>
    </row>
    <row r="186" spans="1:3">
      <c r="A186">
        <f t="shared" si="2"/>
        <v>185</v>
      </c>
      <c r="B186" s="50">
        <v>669016304.01870155</v>
      </c>
      <c r="C186" s="50">
        <v>95252870.650074139</v>
      </c>
    </row>
    <row r="187" spans="1:3">
      <c r="A187">
        <f t="shared" si="2"/>
        <v>186</v>
      </c>
      <c r="B187" s="50">
        <v>669109885.23870659</v>
      </c>
      <c r="C187" s="50">
        <v>95266194.510480642</v>
      </c>
    </row>
    <row r="188" spans="1:3">
      <c r="A188">
        <f t="shared" si="2"/>
        <v>187</v>
      </c>
      <c r="B188" s="50">
        <v>669109568.06102848</v>
      </c>
      <c r="C188" s="50">
        <v>95266149.351514921</v>
      </c>
    </row>
    <row r="189" spans="1:3">
      <c r="A189">
        <f t="shared" si="2"/>
        <v>188</v>
      </c>
      <c r="B189" s="50">
        <v>669085420.4352324</v>
      </c>
      <c r="C189" s="50">
        <v>95262711.272857279</v>
      </c>
    </row>
    <row r="190" spans="1:3">
      <c r="A190">
        <f t="shared" si="2"/>
        <v>189</v>
      </c>
      <c r="B190" s="50">
        <v>669072336.27727544</v>
      </c>
      <c r="C190" s="50">
        <v>95260848.383122072</v>
      </c>
    </row>
    <row r="191" spans="1:3">
      <c r="A191">
        <f t="shared" si="2"/>
        <v>190</v>
      </c>
      <c r="B191" s="50">
        <v>669076224.13088274</v>
      </c>
      <c r="C191" s="50">
        <v>95261401.926009655</v>
      </c>
    </row>
    <row r="192" spans="1:3">
      <c r="A192">
        <f t="shared" si="2"/>
        <v>191</v>
      </c>
      <c r="B192" s="50">
        <v>669066264.03633857</v>
      </c>
      <c r="C192" s="50">
        <v>95259983.832621515</v>
      </c>
    </row>
    <row r="193" spans="1:3">
      <c r="A193">
        <f t="shared" si="2"/>
        <v>192</v>
      </c>
      <c r="B193" s="50">
        <v>669105968.33586383</v>
      </c>
      <c r="C193" s="50">
        <v>95265636.83163546</v>
      </c>
    </row>
    <row r="194" spans="1:3">
      <c r="A194">
        <f t="shared" si="2"/>
        <v>193</v>
      </c>
      <c r="B194" s="50">
        <v>669074644.11485803</v>
      </c>
      <c r="C194" s="50">
        <v>95261176.967273787</v>
      </c>
    </row>
    <row r="195" spans="1:3">
      <c r="A195">
        <f t="shared" si="2"/>
        <v>194</v>
      </c>
      <c r="B195" s="50">
        <v>669088958.53413975</v>
      </c>
      <c r="C195" s="50">
        <v>95263215.018544108</v>
      </c>
    </row>
    <row r="196" spans="1:3">
      <c r="A196">
        <f t="shared" si="2"/>
        <v>195</v>
      </c>
      <c r="B196" s="50">
        <v>669077511.15430522</v>
      </c>
      <c r="C196" s="50">
        <v>95261585.169190496</v>
      </c>
    </row>
    <row r="197" spans="1:3">
      <c r="A197">
        <f t="shared" ref="A197:A260" si="3">A196+1</f>
        <v>196</v>
      </c>
      <c r="B197" s="50">
        <v>669071025.37191451</v>
      </c>
      <c r="C197" s="50">
        <v>95260661.739690483</v>
      </c>
    </row>
    <row r="198" spans="1:3">
      <c r="A198">
        <f t="shared" si="3"/>
        <v>197</v>
      </c>
      <c r="B198" s="50">
        <v>669074335.34090447</v>
      </c>
      <c r="C198" s="50">
        <v>95261133.004809365</v>
      </c>
    </row>
    <row r="199" spans="1:3">
      <c r="A199">
        <f t="shared" si="3"/>
        <v>198</v>
      </c>
      <c r="B199" s="50">
        <v>669092414.75563419</v>
      </c>
      <c r="C199" s="50">
        <v>95263707.106729358</v>
      </c>
    </row>
    <row r="200" spans="1:3">
      <c r="A200">
        <f t="shared" si="3"/>
        <v>199</v>
      </c>
      <c r="B200" s="50">
        <v>669075054.04559851</v>
      </c>
      <c r="C200" s="50">
        <v>95261235.332188889</v>
      </c>
    </row>
    <row r="201" spans="1:3">
      <c r="A201">
        <f t="shared" si="3"/>
        <v>200</v>
      </c>
      <c r="B201" s="50">
        <v>669092824.68637443</v>
      </c>
      <c r="C201" s="50">
        <v>95263765.471644446</v>
      </c>
    </row>
    <row r="202" spans="1:3">
      <c r="A202">
        <f t="shared" si="3"/>
        <v>201</v>
      </c>
      <c r="B202" s="50">
        <v>669081056.51970983</v>
      </c>
      <c r="C202" s="50">
        <v>95262089.949463055</v>
      </c>
    </row>
    <row r="203" spans="1:3">
      <c r="A203">
        <f t="shared" si="3"/>
        <v>202</v>
      </c>
      <c r="B203" s="50">
        <v>669101400.49942625</v>
      </c>
      <c r="C203" s="50">
        <v>95264986.474490613</v>
      </c>
    </row>
    <row r="204" spans="1:3">
      <c r="A204">
        <f t="shared" si="3"/>
        <v>203</v>
      </c>
      <c r="B204" s="50">
        <v>669088866.85389948</v>
      </c>
      <c r="C204" s="50">
        <v>95263201.96534045</v>
      </c>
    </row>
    <row r="205" spans="1:3">
      <c r="A205">
        <f t="shared" si="3"/>
        <v>204</v>
      </c>
      <c r="B205" s="50">
        <v>669054445.66542256</v>
      </c>
      <c r="C205" s="50">
        <v>95258301.162484184</v>
      </c>
    </row>
    <row r="206" spans="1:3">
      <c r="A206">
        <f t="shared" si="3"/>
        <v>205</v>
      </c>
      <c r="B206" s="50">
        <v>669095409.77335072</v>
      </c>
      <c r="C206" s="50">
        <v>95264133.529872462</v>
      </c>
    </row>
    <row r="207" spans="1:3">
      <c r="A207">
        <f t="shared" si="3"/>
        <v>206</v>
      </c>
      <c r="B207" s="50">
        <v>669094391.96362233</v>
      </c>
      <c r="C207" s="50">
        <v>95263988.61666508</v>
      </c>
    </row>
    <row r="208" spans="1:3">
      <c r="A208">
        <f t="shared" si="3"/>
        <v>207</v>
      </c>
      <c r="B208" s="50">
        <v>669066484.14693928</v>
      </c>
      <c r="C208" s="50">
        <v>95260015.171419188</v>
      </c>
    </row>
    <row r="209" spans="1:3">
      <c r="A209">
        <f t="shared" si="3"/>
        <v>208</v>
      </c>
      <c r="B209" s="50">
        <v>669104266.42394114</v>
      </c>
      <c r="C209" s="50">
        <v>95265394.517666042</v>
      </c>
    </row>
    <row r="210" spans="1:3">
      <c r="A210">
        <f t="shared" si="3"/>
        <v>209</v>
      </c>
      <c r="B210" s="50">
        <v>669048666.65422773</v>
      </c>
      <c r="C210" s="50">
        <v>95257478.361302048</v>
      </c>
    </row>
    <row r="211" spans="1:3">
      <c r="A211">
        <f t="shared" si="3"/>
        <v>210</v>
      </c>
      <c r="B211" s="50">
        <v>669083533.61104357</v>
      </c>
      <c r="C211" s="50">
        <v>95262442.631541178</v>
      </c>
    </row>
    <row r="212" spans="1:3">
      <c r="A212">
        <f t="shared" si="3"/>
        <v>211</v>
      </c>
      <c r="B212" s="50">
        <v>669104059.35917842</v>
      </c>
      <c r="C212" s="50">
        <v>95265365.036302239</v>
      </c>
    </row>
    <row r="213" spans="1:3">
      <c r="A213">
        <f t="shared" si="3"/>
        <v>212</v>
      </c>
      <c r="B213" s="50">
        <v>669110575.21246839</v>
      </c>
      <c r="C213" s="50">
        <v>95266292.747221798</v>
      </c>
    </row>
    <row r="214" spans="1:3">
      <c r="A214">
        <f t="shared" si="3"/>
        <v>213</v>
      </c>
      <c r="B214" s="50">
        <v>669105259.15272772</v>
      </c>
      <c r="C214" s="50">
        <v>95265535.859911576</v>
      </c>
    </row>
    <row r="215" spans="1:3">
      <c r="A215">
        <f t="shared" si="3"/>
        <v>214</v>
      </c>
      <c r="B215" s="50">
        <v>669097437.47575653</v>
      </c>
      <c r="C215" s="50">
        <v>95264422.229077265</v>
      </c>
    </row>
    <row r="216" spans="1:3">
      <c r="A216">
        <f t="shared" si="3"/>
        <v>215</v>
      </c>
      <c r="B216" s="50">
        <v>669073245.64465463</v>
      </c>
      <c r="C216" s="50">
        <v>95260977.856578574</v>
      </c>
    </row>
    <row r="217" spans="1:3">
      <c r="A217">
        <f t="shared" si="3"/>
        <v>216</v>
      </c>
      <c r="B217" s="50">
        <v>669125571.77648413</v>
      </c>
      <c r="C217" s="50">
        <v>95268427.92055586</v>
      </c>
    </row>
    <row r="218" spans="1:3">
      <c r="A218">
        <f t="shared" si="3"/>
        <v>217</v>
      </c>
      <c r="B218" s="50">
        <v>669093382.99042034</v>
      </c>
      <c r="C218" s="50">
        <v>95263844.961580262</v>
      </c>
    </row>
    <row r="219" spans="1:3">
      <c r="A219">
        <f t="shared" si="3"/>
        <v>218</v>
      </c>
      <c r="B219" s="50">
        <v>669095409.77335072</v>
      </c>
      <c r="C219" s="50">
        <v>95264133.529872462</v>
      </c>
    </row>
    <row r="220" spans="1:3">
      <c r="A220">
        <f t="shared" si="3"/>
        <v>219</v>
      </c>
      <c r="B220" s="50">
        <v>669099631.40835321</v>
      </c>
      <c r="C220" s="50">
        <v>95264734.595721543</v>
      </c>
    </row>
    <row r="221" spans="1:3">
      <c r="A221">
        <f t="shared" si="3"/>
        <v>220</v>
      </c>
      <c r="B221" s="50">
        <v>669115836.73656702</v>
      </c>
      <c r="C221" s="50">
        <v>95267041.869883507</v>
      </c>
    </row>
    <row r="222" spans="1:3">
      <c r="A222">
        <f t="shared" si="3"/>
        <v>221</v>
      </c>
      <c r="B222" s="50">
        <v>669053224.90716851</v>
      </c>
      <c r="C222" s="50">
        <v>95258127.353972554</v>
      </c>
    </row>
    <row r="223" spans="1:3">
      <c r="A223">
        <f t="shared" si="3"/>
        <v>222</v>
      </c>
      <c r="B223" s="50">
        <v>669082997.7093699</v>
      </c>
      <c r="C223" s="50">
        <v>95262366.331199184</v>
      </c>
    </row>
    <row r="224" spans="1:3">
      <c r="A224">
        <f t="shared" si="3"/>
        <v>223</v>
      </c>
      <c r="B224" s="50">
        <v>669088787.05192256</v>
      </c>
      <c r="C224" s="50">
        <v>95263190.603334263</v>
      </c>
    </row>
    <row r="225" spans="1:3">
      <c r="A225">
        <f t="shared" si="3"/>
        <v>224</v>
      </c>
      <c r="B225" s="50">
        <v>669060342.76013231</v>
      </c>
      <c r="C225" s="50">
        <v>95259140.776102319</v>
      </c>
    </row>
    <row r="226" spans="1:3">
      <c r="A226">
        <f t="shared" si="3"/>
        <v>225</v>
      </c>
      <c r="B226" s="50">
        <v>669079221.03942561</v>
      </c>
      <c r="C226" s="50">
        <v>95261828.618363887</v>
      </c>
    </row>
    <row r="227" spans="1:3">
      <c r="A227">
        <f t="shared" si="3"/>
        <v>226</v>
      </c>
      <c r="B227" s="50">
        <v>669099449.91750276</v>
      </c>
      <c r="C227" s="50">
        <v>95264708.755507484</v>
      </c>
    </row>
    <row r="228" spans="1:3">
      <c r="A228">
        <f t="shared" si="3"/>
        <v>227</v>
      </c>
      <c r="B228" s="50">
        <v>669091312.16963744</v>
      </c>
      <c r="C228" s="50">
        <v>95263550.123288587</v>
      </c>
    </row>
    <row r="229" spans="1:3">
      <c r="A229">
        <f t="shared" si="3"/>
        <v>228</v>
      </c>
      <c r="B229" s="50">
        <v>669061183.63189268</v>
      </c>
      <c r="C229" s="50">
        <v>95259260.497323677</v>
      </c>
    </row>
    <row r="230" spans="1:3">
      <c r="A230">
        <f t="shared" si="3"/>
        <v>229</v>
      </c>
      <c r="B230" s="50">
        <v>669065108.65514302</v>
      </c>
      <c r="C230" s="50">
        <v>95259819.332332209</v>
      </c>
    </row>
    <row r="231" spans="1:3">
      <c r="A231">
        <f t="shared" si="3"/>
        <v>230</v>
      </c>
      <c r="B231" s="50">
        <v>669097172.88377571</v>
      </c>
      <c r="C231" s="50">
        <v>95264384.557131812</v>
      </c>
    </row>
    <row r="232" spans="1:3">
      <c r="A232">
        <f t="shared" si="3"/>
        <v>231</v>
      </c>
      <c r="B232" s="50">
        <v>669076324.01231122</v>
      </c>
      <c r="C232" s="50">
        <v>95261416.146878004</v>
      </c>
    </row>
    <row r="233" spans="1:3">
      <c r="A233">
        <f t="shared" si="3"/>
        <v>232</v>
      </c>
      <c r="B233" s="50">
        <v>669068987.50186563</v>
      </c>
      <c r="C233" s="50">
        <v>95260371.592842042</v>
      </c>
    </row>
    <row r="234" spans="1:3">
      <c r="A234">
        <f t="shared" si="3"/>
        <v>233</v>
      </c>
      <c r="B234" s="50">
        <v>669047816.6302793</v>
      </c>
      <c r="C234" s="50">
        <v>95257357.337015003</v>
      </c>
    </row>
    <row r="235" spans="1:3">
      <c r="A235">
        <f t="shared" si="3"/>
        <v>234</v>
      </c>
      <c r="B235" s="50">
        <v>669100904.9746784</v>
      </c>
      <c r="C235" s="50">
        <v>95264915.92291449</v>
      </c>
    </row>
    <row r="236" spans="1:3">
      <c r="A236">
        <f t="shared" si="3"/>
        <v>235</v>
      </c>
      <c r="B236" s="50">
        <v>669114660.59975135</v>
      </c>
      <c r="C236" s="50">
        <v>95266874.414460823</v>
      </c>
    </row>
    <row r="237" spans="1:3">
      <c r="A237">
        <f t="shared" si="3"/>
        <v>236</v>
      </c>
      <c r="B237" s="50">
        <v>669040258.90812469</v>
      </c>
      <c r="C237" s="50">
        <v>95256281.287408337</v>
      </c>
    </row>
    <row r="238" spans="1:3">
      <c r="A238">
        <f t="shared" si="3"/>
        <v>237</v>
      </c>
      <c r="B238" s="50">
        <v>669056987.08643031</v>
      </c>
      <c r="C238" s="50">
        <v>95258663.003660664</v>
      </c>
    </row>
    <row r="239" spans="1:3">
      <c r="A239">
        <f t="shared" si="3"/>
        <v>238</v>
      </c>
      <c r="B239" s="50">
        <v>669098162.25813329</v>
      </c>
      <c r="C239" s="50">
        <v>95264525.421782106</v>
      </c>
    </row>
    <row r="240" spans="1:3">
      <c r="A240">
        <f t="shared" si="3"/>
        <v>239</v>
      </c>
      <c r="B240" s="50">
        <v>669063811.88391745</v>
      </c>
      <c r="C240" s="50">
        <v>95259634.701283485</v>
      </c>
    </row>
    <row r="241" spans="1:3">
      <c r="A241">
        <f t="shared" si="3"/>
        <v>240</v>
      </c>
      <c r="B241" s="50">
        <v>669084704.68502057</v>
      </c>
      <c r="C241" s="50">
        <v>95262609.366129547</v>
      </c>
    </row>
    <row r="242" spans="1:3">
      <c r="A242">
        <f t="shared" si="3"/>
        <v>241</v>
      </c>
      <c r="B242" s="50">
        <v>669079752.84783423</v>
      </c>
      <c r="C242" s="50">
        <v>95261904.335917026</v>
      </c>
    </row>
    <row r="243" spans="1:3">
      <c r="A243">
        <f t="shared" si="3"/>
        <v>242</v>
      </c>
      <c r="B243" s="50">
        <v>669113979.33979094</v>
      </c>
      <c r="C243" s="50">
        <v>95266777.418368936</v>
      </c>
    </row>
    <row r="244" spans="1:3">
      <c r="A244">
        <f t="shared" si="3"/>
        <v>243</v>
      </c>
      <c r="B244" s="50">
        <v>669029625.95436895</v>
      </c>
      <c r="C244" s="50">
        <v>95254767.394005969</v>
      </c>
    </row>
    <row r="245" spans="1:3">
      <c r="A245">
        <f t="shared" si="3"/>
        <v>244</v>
      </c>
      <c r="B245" s="50">
        <v>669098625.47938061</v>
      </c>
      <c r="C245" s="50">
        <v>95264591.374066502</v>
      </c>
    </row>
    <row r="246" spans="1:3">
      <c r="A246">
        <f t="shared" si="3"/>
        <v>245</v>
      </c>
      <c r="B246" s="50">
        <v>669099276.22906244</v>
      </c>
      <c r="C246" s="50">
        <v>95264684.026181087</v>
      </c>
    </row>
    <row r="247" spans="1:3">
      <c r="A247">
        <f t="shared" si="3"/>
        <v>246</v>
      </c>
      <c r="B247" s="50">
        <v>669072933.42240226</v>
      </c>
      <c r="C247" s="50">
        <v>95260933.403154001</v>
      </c>
    </row>
    <row r="248" spans="1:3">
      <c r="A248">
        <f t="shared" si="3"/>
        <v>247</v>
      </c>
      <c r="B248" s="50">
        <v>669077444.46775341</v>
      </c>
      <c r="C248" s="50">
        <v>95261575.674525782</v>
      </c>
    </row>
    <row r="249" spans="1:3">
      <c r="A249">
        <f t="shared" si="3"/>
        <v>248</v>
      </c>
      <c r="B249" s="50">
        <v>669094769.97558773</v>
      </c>
      <c r="C249" s="50">
        <v>95264042.437064707</v>
      </c>
    </row>
    <row r="250" spans="1:3">
      <c r="A250">
        <f t="shared" si="3"/>
        <v>249</v>
      </c>
      <c r="B250" s="50">
        <v>669030787.60022461</v>
      </c>
      <c r="C250" s="50">
        <v>95254932.786241964</v>
      </c>
    </row>
    <row r="251" spans="1:3">
      <c r="A251">
        <f t="shared" si="3"/>
        <v>250</v>
      </c>
      <c r="B251" s="50">
        <v>669093068.95652318</v>
      </c>
      <c r="C251" s="50">
        <v>95263800.250218213</v>
      </c>
    </row>
    <row r="252" spans="1:3">
      <c r="A252">
        <f t="shared" si="3"/>
        <v>251</v>
      </c>
      <c r="B252" s="50">
        <v>669068475.47900426</v>
      </c>
      <c r="C252" s="50">
        <v>95260298.692305684</v>
      </c>
    </row>
    <row r="253" spans="1:3">
      <c r="A253">
        <f t="shared" si="3"/>
        <v>252</v>
      </c>
      <c r="B253" s="50">
        <v>669113844.44748068</v>
      </c>
      <c r="C253" s="50">
        <v>95266758.212738678</v>
      </c>
    </row>
    <row r="254" spans="1:3">
      <c r="A254">
        <f t="shared" si="3"/>
        <v>253</v>
      </c>
      <c r="B254" s="50">
        <v>669064903.53298247</v>
      </c>
      <c r="C254" s="50">
        <v>95259790.127551228</v>
      </c>
    </row>
    <row r="255" spans="1:3">
      <c r="A255">
        <f t="shared" si="3"/>
        <v>254</v>
      </c>
      <c r="B255" s="50">
        <v>669090662.65228558</v>
      </c>
      <c r="C255" s="50">
        <v>95263457.646630064</v>
      </c>
    </row>
    <row r="256" spans="1:3">
      <c r="A256">
        <f t="shared" si="3"/>
        <v>255</v>
      </c>
      <c r="B256" s="50">
        <v>669067223.30577219</v>
      </c>
      <c r="C256" s="50">
        <v>95260120.411007926</v>
      </c>
    </row>
    <row r="257" spans="1:3">
      <c r="A257">
        <f t="shared" si="3"/>
        <v>256</v>
      </c>
      <c r="B257" s="50">
        <v>669103861.19626522</v>
      </c>
      <c r="C257" s="50">
        <v>95265336.822361529</v>
      </c>
    </row>
    <row r="258" spans="1:3">
      <c r="A258">
        <f t="shared" si="3"/>
        <v>257</v>
      </c>
      <c r="B258" s="50">
        <v>669089031.39696968</v>
      </c>
      <c r="C258" s="50">
        <v>95263225.392571867</v>
      </c>
    </row>
    <row r="259" spans="1:3">
      <c r="A259">
        <f t="shared" si="3"/>
        <v>258</v>
      </c>
      <c r="B259" s="50">
        <v>669098431.02228224</v>
      </c>
      <c r="C259" s="50">
        <v>95264563.687750444</v>
      </c>
    </row>
    <row r="260" spans="1:3">
      <c r="A260">
        <f t="shared" si="3"/>
        <v>259</v>
      </c>
      <c r="B260" s="50">
        <v>669083854.53127062</v>
      </c>
      <c r="C260" s="50">
        <v>95262488.323361695</v>
      </c>
    </row>
    <row r="261" spans="1:3">
      <c r="A261">
        <f t="shared" ref="A261:A324" si="4">A260+1</f>
        <v>260</v>
      </c>
      <c r="B261" s="50">
        <v>669080598.02127492</v>
      </c>
      <c r="C261" s="50">
        <v>95262024.669600889</v>
      </c>
    </row>
    <row r="262" spans="1:3">
      <c r="A262">
        <f t="shared" si="4"/>
        <v>261</v>
      </c>
      <c r="B262" s="50">
        <v>669065366.97110713</v>
      </c>
      <c r="C262" s="50">
        <v>95259856.110714078</v>
      </c>
    </row>
    <row r="263" spans="1:3">
      <c r="A263">
        <f t="shared" si="4"/>
        <v>262</v>
      </c>
      <c r="B263" s="50">
        <v>669074663.97098315</v>
      </c>
      <c r="C263" s="50">
        <v>95261179.794339299</v>
      </c>
    </row>
    <row r="264" spans="1:3">
      <c r="A264">
        <f t="shared" si="4"/>
        <v>263</v>
      </c>
      <c r="B264" s="50">
        <v>669069529.25818849</v>
      </c>
      <c r="C264" s="50">
        <v>95260448.726754367</v>
      </c>
    </row>
    <row r="265" spans="1:3">
      <c r="A265">
        <f t="shared" si="4"/>
        <v>264</v>
      </c>
      <c r="B265" s="50">
        <v>669106993.33481145</v>
      </c>
      <c r="C265" s="50">
        <v>95265782.768425927</v>
      </c>
    </row>
    <row r="266" spans="1:3">
      <c r="A266">
        <f t="shared" si="4"/>
        <v>265</v>
      </c>
      <c r="B266" s="50">
        <v>669089888.75608814</v>
      </c>
      <c r="C266" s="50">
        <v>95263347.461222097</v>
      </c>
    </row>
    <row r="267" spans="1:3">
      <c r="A267">
        <f t="shared" si="4"/>
        <v>266</v>
      </c>
      <c r="B267" s="50">
        <v>669096774.64372861</v>
      </c>
      <c r="C267" s="50">
        <v>95264327.856708407</v>
      </c>
    </row>
    <row r="268" spans="1:3">
      <c r="A268">
        <f t="shared" si="4"/>
        <v>267</v>
      </c>
      <c r="B268" s="50">
        <v>669099276.22906244</v>
      </c>
      <c r="C268" s="50">
        <v>95264684.026181087</v>
      </c>
    </row>
    <row r="269" spans="1:3">
      <c r="A269">
        <f t="shared" si="4"/>
        <v>268</v>
      </c>
      <c r="B269" s="50">
        <v>669083854.53127062</v>
      </c>
      <c r="C269" s="50">
        <v>95262488.323361695</v>
      </c>
    </row>
    <row r="270" spans="1:3">
      <c r="A270">
        <f t="shared" si="4"/>
        <v>269</v>
      </c>
      <c r="B270" s="50">
        <v>669080341.27221739</v>
      </c>
      <c r="C270" s="50">
        <v>95261988.114311263</v>
      </c>
    </row>
    <row r="271" spans="1:3">
      <c r="A271">
        <f t="shared" si="4"/>
        <v>270</v>
      </c>
      <c r="B271" s="50">
        <v>669123851.6609745</v>
      </c>
      <c r="C271" s="50">
        <v>95268183.014805198</v>
      </c>
    </row>
    <row r="272" spans="1:3">
      <c r="A272">
        <f t="shared" si="4"/>
        <v>271</v>
      </c>
      <c r="B272" s="50">
        <v>669093256.14548612</v>
      </c>
      <c r="C272" s="50">
        <v>95263826.901715294</v>
      </c>
    </row>
    <row r="273" spans="1:3">
      <c r="A273">
        <f t="shared" si="4"/>
        <v>272</v>
      </c>
      <c r="B273" s="50">
        <v>669090430.88655114</v>
      </c>
      <c r="C273" s="50">
        <v>95263424.648403585</v>
      </c>
    </row>
    <row r="274" spans="1:3">
      <c r="A274">
        <f t="shared" si="4"/>
        <v>273</v>
      </c>
      <c r="B274" s="50">
        <v>669065198.86908472</v>
      </c>
      <c r="C274" s="50">
        <v>95259832.17676793</v>
      </c>
    </row>
    <row r="275" spans="1:3">
      <c r="A275">
        <f t="shared" si="4"/>
        <v>274</v>
      </c>
      <c r="B275" s="50">
        <v>669104637.55855155</v>
      </c>
      <c r="C275" s="50">
        <v>95265447.35888505</v>
      </c>
    </row>
    <row r="276" spans="1:3">
      <c r="A276">
        <f t="shared" si="4"/>
        <v>275</v>
      </c>
      <c r="B276" s="50">
        <v>669102678.98008621</v>
      </c>
      <c r="C276" s="50">
        <v>95265168.501374274</v>
      </c>
    </row>
    <row r="277" spans="1:3">
      <c r="A277">
        <f t="shared" si="4"/>
        <v>276</v>
      </c>
      <c r="B277" s="50">
        <v>669079632.89626813</v>
      </c>
      <c r="C277" s="50">
        <v>95261887.257512614</v>
      </c>
    </row>
    <row r="278" spans="1:3">
      <c r="A278">
        <f t="shared" si="4"/>
        <v>277</v>
      </c>
      <c r="B278" s="50">
        <v>669095739.73600185</v>
      </c>
      <c r="C278" s="50">
        <v>95264180.509130716</v>
      </c>
    </row>
    <row r="279" spans="1:3">
      <c r="A279">
        <f t="shared" si="4"/>
        <v>278</v>
      </c>
      <c r="B279" s="50">
        <v>669087076.64965165</v>
      </c>
      <c r="C279" s="50">
        <v>95262947.080530256</v>
      </c>
    </row>
    <row r="280" spans="1:3">
      <c r="A280">
        <f t="shared" si="4"/>
        <v>279</v>
      </c>
      <c r="B280" s="50">
        <v>669088008.92166924</v>
      </c>
      <c r="C280" s="50">
        <v>95263079.815091997</v>
      </c>
    </row>
    <row r="281" spans="1:3">
      <c r="A281">
        <f t="shared" si="4"/>
        <v>280</v>
      </c>
      <c r="B281" s="50">
        <v>669086252.21152949</v>
      </c>
      <c r="C281" s="50">
        <v>95262829.699089289</v>
      </c>
    </row>
    <row r="282" spans="1:3">
      <c r="A282">
        <f t="shared" si="4"/>
        <v>281</v>
      </c>
      <c r="B282" s="50">
        <v>669075654.40685439</v>
      </c>
      <c r="C282" s="50">
        <v>95261320.810125247</v>
      </c>
    </row>
    <row r="283" spans="1:3">
      <c r="A283">
        <f t="shared" si="4"/>
        <v>282</v>
      </c>
      <c r="B283" s="50">
        <v>669076662.51231885</v>
      </c>
      <c r="C283" s="50">
        <v>95261464.341663763</v>
      </c>
    </row>
    <row r="284" spans="1:3">
      <c r="A284">
        <f t="shared" si="4"/>
        <v>283</v>
      </c>
      <c r="B284" s="50">
        <v>669073796.43459296</v>
      </c>
      <c r="C284" s="50">
        <v>95261056.276674524</v>
      </c>
    </row>
    <row r="285" spans="1:3">
      <c r="A285">
        <f t="shared" si="4"/>
        <v>284</v>
      </c>
      <c r="B285" s="50">
        <v>669063603.7048074</v>
      </c>
      <c r="C285" s="50">
        <v>95259605.061261699</v>
      </c>
    </row>
    <row r="286" spans="1:3">
      <c r="A286">
        <f t="shared" si="4"/>
        <v>285</v>
      </c>
      <c r="B286" s="50">
        <v>669098297.15044355</v>
      </c>
      <c r="C286" s="50">
        <v>95264544.627412379</v>
      </c>
    </row>
    <row r="287" spans="1:3">
      <c r="A287">
        <f t="shared" si="4"/>
        <v>286</v>
      </c>
      <c r="B287" s="50">
        <v>669079596.9241221</v>
      </c>
      <c r="C287" s="50">
        <v>95261882.135888278</v>
      </c>
    </row>
    <row r="288" spans="1:3">
      <c r="A288">
        <f t="shared" si="4"/>
        <v>287</v>
      </c>
      <c r="B288" s="50">
        <v>669105018.28513718</v>
      </c>
      <c r="C288" s="50">
        <v>95265501.565785542</v>
      </c>
    </row>
    <row r="289" spans="1:3">
      <c r="A289">
        <f t="shared" si="4"/>
        <v>288</v>
      </c>
      <c r="B289" s="50">
        <v>669089069.36524284</v>
      </c>
      <c r="C289" s="50">
        <v>95263230.798399791</v>
      </c>
    </row>
    <row r="290" spans="1:3">
      <c r="A290">
        <f t="shared" si="4"/>
        <v>289</v>
      </c>
      <c r="B290" s="50">
        <v>669036379.7984345</v>
      </c>
      <c r="C290" s="50">
        <v>95255728.989457831</v>
      </c>
    </row>
    <row r="291" spans="1:3">
      <c r="A291">
        <f t="shared" si="4"/>
        <v>290</v>
      </c>
      <c r="B291" s="50">
        <v>669110577.77753949</v>
      </c>
      <c r="C291" s="50">
        <v>95266293.11243023</v>
      </c>
    </row>
    <row r="292" spans="1:3">
      <c r="A292">
        <f t="shared" si="4"/>
        <v>291</v>
      </c>
      <c r="B292" s="50">
        <v>669100673.4088254</v>
      </c>
      <c r="C292" s="50">
        <v>95264882.953146622</v>
      </c>
    </row>
    <row r="293" spans="1:3">
      <c r="A293">
        <f t="shared" si="4"/>
        <v>292</v>
      </c>
      <c r="B293" s="50">
        <v>669103906.9403317</v>
      </c>
      <c r="C293" s="50">
        <v>95265343.335287482</v>
      </c>
    </row>
    <row r="294" spans="1:3">
      <c r="A294">
        <f t="shared" si="4"/>
        <v>293</v>
      </c>
      <c r="B294" s="50">
        <v>669081581.44832397</v>
      </c>
      <c r="C294" s="50">
        <v>95262164.687488258</v>
      </c>
    </row>
    <row r="295" spans="1:3">
      <c r="A295">
        <f t="shared" si="4"/>
        <v>294</v>
      </c>
      <c r="B295" s="50">
        <v>669110311.04699242</v>
      </c>
      <c r="C295" s="50">
        <v>95266255.136001021</v>
      </c>
    </row>
    <row r="296" spans="1:3">
      <c r="A296">
        <f t="shared" si="4"/>
        <v>295</v>
      </c>
      <c r="B296" s="50">
        <v>669118255.72624314</v>
      </c>
      <c r="C296" s="50">
        <v>95267386.279592723</v>
      </c>
    </row>
    <row r="297" spans="1:3">
      <c r="A297">
        <f t="shared" si="4"/>
        <v>296</v>
      </c>
      <c r="B297" s="50">
        <v>669100442.64628923</v>
      </c>
      <c r="C297" s="50">
        <v>95264850.097752988</v>
      </c>
    </row>
    <row r="298" spans="1:3">
      <c r="A298">
        <f t="shared" si="4"/>
        <v>297</v>
      </c>
      <c r="B298" s="50">
        <v>669055759.53214276</v>
      </c>
      <c r="C298" s="50">
        <v>95258488.227546722</v>
      </c>
    </row>
    <row r="299" spans="1:3">
      <c r="A299">
        <f t="shared" si="4"/>
        <v>298</v>
      </c>
      <c r="B299" s="50">
        <v>669080966.84177685</v>
      </c>
      <c r="C299" s="50">
        <v>95262077.181342915</v>
      </c>
    </row>
    <row r="300" spans="1:3">
      <c r="A300">
        <f t="shared" si="4"/>
        <v>299</v>
      </c>
      <c r="B300" s="50">
        <v>669086438.216524</v>
      </c>
      <c r="C300" s="50">
        <v>95262856.182015896</v>
      </c>
    </row>
    <row r="301" spans="1:3">
      <c r="A301">
        <f t="shared" si="4"/>
        <v>300</v>
      </c>
      <c r="B301" s="50">
        <v>669054797.63122499</v>
      </c>
      <c r="C301" s="50">
        <v>95258351.274496183</v>
      </c>
    </row>
    <row r="302" spans="1:3">
      <c r="A302">
        <f t="shared" si="4"/>
        <v>301</v>
      </c>
      <c r="B302" s="50">
        <v>669063921.39837515</v>
      </c>
      <c r="C302" s="50">
        <v>95259650.293678492</v>
      </c>
    </row>
    <row r="303" spans="1:3">
      <c r="A303">
        <f t="shared" si="4"/>
        <v>302</v>
      </c>
      <c r="B303" s="50">
        <v>669058179.31555152</v>
      </c>
      <c r="C303" s="50">
        <v>95258832.750265613</v>
      </c>
    </row>
    <row r="304" spans="1:3">
      <c r="A304">
        <f t="shared" si="4"/>
        <v>303</v>
      </c>
      <c r="B304" s="50">
        <v>669097413.66286898</v>
      </c>
      <c r="C304" s="50">
        <v>95264418.838657811</v>
      </c>
    </row>
    <row r="305" spans="1:3">
      <c r="A305">
        <f t="shared" si="4"/>
        <v>304</v>
      </c>
      <c r="B305" s="50">
        <v>669099631.40835321</v>
      </c>
      <c r="C305" s="50">
        <v>95264734.595721543</v>
      </c>
    </row>
    <row r="306" spans="1:3">
      <c r="A306">
        <f t="shared" si="4"/>
        <v>305</v>
      </c>
      <c r="B306" s="50">
        <v>669100904.9746784</v>
      </c>
      <c r="C306" s="50">
        <v>95264915.92291449</v>
      </c>
    </row>
    <row r="307" spans="1:3">
      <c r="A307">
        <f t="shared" si="4"/>
        <v>306</v>
      </c>
      <c r="B307" s="50">
        <v>669054770.6585505</v>
      </c>
      <c r="C307" s="50">
        <v>95258347.434194162</v>
      </c>
    </row>
    <row r="308" spans="1:3">
      <c r="A308">
        <f t="shared" si="4"/>
        <v>307</v>
      </c>
      <c r="B308" s="50">
        <v>669043095.1844337</v>
      </c>
      <c r="C308" s="50">
        <v>95256685.109346241</v>
      </c>
    </row>
    <row r="309" spans="1:3">
      <c r="A309">
        <f t="shared" si="4"/>
        <v>308</v>
      </c>
      <c r="B309" s="50">
        <v>669097767.37251508</v>
      </c>
      <c r="C309" s="50">
        <v>95264469.198953927</v>
      </c>
    </row>
    <row r="310" spans="1:3">
      <c r="A310">
        <f t="shared" si="4"/>
        <v>309</v>
      </c>
      <c r="B310" s="50">
        <v>669104664.28129184</v>
      </c>
      <c r="C310" s="50">
        <v>95265451.163602099</v>
      </c>
    </row>
    <row r="311" spans="1:3">
      <c r="A311">
        <f t="shared" si="4"/>
        <v>310</v>
      </c>
      <c r="B311" s="50">
        <v>669091765.58878112</v>
      </c>
      <c r="C311" s="50">
        <v>95263614.679973975</v>
      </c>
    </row>
    <row r="312" spans="1:3">
      <c r="A312">
        <f t="shared" si="4"/>
        <v>311</v>
      </c>
      <c r="B312" s="50">
        <v>669066441.10187817</v>
      </c>
      <c r="C312" s="50">
        <v>95260009.042770863</v>
      </c>
    </row>
    <row r="313" spans="1:3">
      <c r="A313">
        <f t="shared" si="4"/>
        <v>312</v>
      </c>
      <c r="B313" s="50">
        <v>669099276.22906244</v>
      </c>
      <c r="C313" s="50">
        <v>95264684.026181087</v>
      </c>
    </row>
    <row r="314" spans="1:3">
      <c r="A314">
        <f t="shared" si="4"/>
        <v>313</v>
      </c>
      <c r="B314" s="50">
        <v>669062024.2397933</v>
      </c>
      <c r="C314" s="50">
        <v>95259380.180977345</v>
      </c>
    </row>
    <row r="315" spans="1:3">
      <c r="A315">
        <f t="shared" si="4"/>
        <v>314</v>
      </c>
      <c r="B315" s="50">
        <v>669046493.07190311</v>
      </c>
      <c r="C315" s="50">
        <v>95257168.892078698</v>
      </c>
    </row>
    <row r="316" spans="1:3">
      <c r="A316">
        <f t="shared" si="4"/>
        <v>315</v>
      </c>
      <c r="B316" s="50">
        <v>669095652.46270347</v>
      </c>
      <c r="C316" s="50">
        <v>95264168.083376437</v>
      </c>
    </row>
    <row r="317" spans="1:3">
      <c r="A317">
        <f t="shared" si="4"/>
        <v>316</v>
      </c>
      <c r="B317" s="50">
        <v>669100442.64628923</v>
      </c>
      <c r="C317" s="50">
        <v>95264850.097752988</v>
      </c>
    </row>
    <row r="318" spans="1:3">
      <c r="A318">
        <f t="shared" si="4"/>
        <v>317</v>
      </c>
      <c r="B318" s="50">
        <v>669109057.35646725</v>
      </c>
      <c r="C318" s="50">
        <v>95266076.638674855</v>
      </c>
    </row>
    <row r="319" spans="1:3">
      <c r="A319">
        <f t="shared" si="4"/>
        <v>318</v>
      </c>
      <c r="B319" s="50">
        <v>669100668.73237824</v>
      </c>
      <c r="C319" s="50">
        <v>95264882.287325755</v>
      </c>
    </row>
    <row r="320" spans="1:3">
      <c r="A320">
        <f t="shared" si="4"/>
        <v>319</v>
      </c>
      <c r="B320" s="50">
        <v>669108811.57454216</v>
      </c>
      <c r="C320" s="50">
        <v>95266041.644858152</v>
      </c>
    </row>
    <row r="321" spans="1:3">
      <c r="A321">
        <f t="shared" si="4"/>
        <v>320</v>
      </c>
      <c r="B321" s="50">
        <v>669087607.13151801</v>
      </c>
      <c r="C321" s="50">
        <v>95263022.609213635</v>
      </c>
    </row>
    <row r="322" spans="1:3">
      <c r="A322">
        <f t="shared" si="4"/>
        <v>321</v>
      </c>
      <c r="B322" s="50">
        <v>669086461.33960056</v>
      </c>
      <c r="C322" s="50">
        <v>95262859.474221781</v>
      </c>
    </row>
    <row r="323" spans="1:3">
      <c r="A323">
        <f t="shared" si="4"/>
        <v>322</v>
      </c>
      <c r="B323" s="50">
        <v>669086353.53859687</v>
      </c>
      <c r="C323" s="50">
        <v>95262844.125784099</v>
      </c>
    </row>
    <row r="324" spans="1:3">
      <c r="A324">
        <f t="shared" si="4"/>
        <v>323</v>
      </c>
      <c r="B324" s="50">
        <v>669077491.33725572</v>
      </c>
      <c r="C324" s="50">
        <v>95261582.347688481</v>
      </c>
    </row>
    <row r="325" spans="1:3">
      <c r="A325">
        <f t="shared" ref="A325:A388" si="5">A324+1</f>
        <v>324</v>
      </c>
      <c r="B325" s="50">
        <v>669089737.10264921</v>
      </c>
      <c r="C325" s="50">
        <v>95263325.869184196</v>
      </c>
    </row>
    <row r="326" spans="1:3">
      <c r="A326">
        <f t="shared" si="5"/>
        <v>325</v>
      </c>
      <c r="B326" s="50">
        <v>669119035.15453613</v>
      </c>
      <c r="C326" s="50">
        <v>95267497.25264661</v>
      </c>
    </row>
    <row r="327" spans="1:3">
      <c r="A327">
        <f t="shared" si="5"/>
        <v>326</v>
      </c>
      <c r="B327" s="50">
        <v>669086587.2158258</v>
      </c>
      <c r="C327" s="50">
        <v>95262877.396164387</v>
      </c>
    </row>
    <row r="328" spans="1:3">
      <c r="A328">
        <f t="shared" si="5"/>
        <v>327</v>
      </c>
      <c r="B328" s="50">
        <v>669086614.3212626</v>
      </c>
      <c r="C328" s="50">
        <v>95262881.255368799</v>
      </c>
    </row>
    <row r="329" spans="1:3">
      <c r="A329">
        <f t="shared" si="5"/>
        <v>328</v>
      </c>
      <c r="B329" s="50">
        <v>669101886.81098366</v>
      </c>
      <c r="C329" s="50">
        <v>95265055.714315698</v>
      </c>
    </row>
    <row r="330" spans="1:3">
      <c r="A330">
        <f t="shared" si="5"/>
        <v>329</v>
      </c>
      <c r="B330" s="50">
        <v>669087671.13839102</v>
      </c>
      <c r="C330" s="50">
        <v>95263031.722352371</v>
      </c>
    </row>
    <row r="331" spans="1:3">
      <c r="A331">
        <f t="shared" si="5"/>
        <v>330</v>
      </c>
      <c r="B331" s="50">
        <v>669095409.77335072</v>
      </c>
      <c r="C331" s="50">
        <v>95264133.529872462</v>
      </c>
    </row>
    <row r="332" spans="1:3">
      <c r="A332">
        <f t="shared" si="5"/>
        <v>331</v>
      </c>
      <c r="B332" s="50">
        <v>669120053.45723486</v>
      </c>
      <c r="C332" s="50">
        <v>95267642.236041889</v>
      </c>
    </row>
    <row r="333" spans="1:3">
      <c r="A333">
        <f t="shared" si="5"/>
        <v>332</v>
      </c>
      <c r="B333" s="50">
        <v>669101564.56927407</v>
      </c>
      <c r="C333" s="50">
        <v>95265009.834345818</v>
      </c>
    </row>
    <row r="334" spans="1:3">
      <c r="A334">
        <f t="shared" si="5"/>
        <v>333</v>
      </c>
      <c r="B334" s="50">
        <v>669092286.66087544</v>
      </c>
      <c r="C334" s="50">
        <v>95263688.868917495</v>
      </c>
    </row>
    <row r="335" spans="1:3">
      <c r="A335">
        <f t="shared" si="5"/>
        <v>334</v>
      </c>
      <c r="B335" s="50">
        <v>669091829.53643477</v>
      </c>
      <c r="C335" s="50">
        <v>95263623.784681201</v>
      </c>
    </row>
    <row r="336" spans="1:3">
      <c r="A336">
        <f t="shared" si="5"/>
        <v>335</v>
      </c>
      <c r="B336" s="50">
        <v>669057111.20792794</v>
      </c>
      <c r="C336" s="50">
        <v>95258680.675769523</v>
      </c>
    </row>
    <row r="337" spans="1:3">
      <c r="A337">
        <f t="shared" si="5"/>
        <v>336</v>
      </c>
      <c r="B337" s="50">
        <v>669097881.42059469</v>
      </c>
      <c r="C337" s="50">
        <v>95264485.436834678</v>
      </c>
    </row>
    <row r="338" spans="1:3">
      <c r="A338">
        <f t="shared" si="5"/>
        <v>337</v>
      </c>
      <c r="B338" s="50">
        <v>669009676.83489692</v>
      </c>
      <c r="C338" s="50">
        <v>95251927.088193923</v>
      </c>
    </row>
    <row r="339" spans="1:3">
      <c r="A339">
        <f t="shared" si="5"/>
        <v>338</v>
      </c>
      <c r="B339" s="50">
        <v>669117951.23197091</v>
      </c>
      <c r="C339" s="50">
        <v>95267342.926458627</v>
      </c>
    </row>
    <row r="340" spans="1:3">
      <c r="A340">
        <f t="shared" si="5"/>
        <v>339</v>
      </c>
      <c r="B340" s="50">
        <v>669103564.26651561</v>
      </c>
      <c r="C340" s="50">
        <v>95265294.546245292</v>
      </c>
    </row>
    <row r="341" spans="1:3">
      <c r="A341">
        <f t="shared" si="5"/>
        <v>340</v>
      </c>
      <c r="B341" s="50">
        <v>669078632.93773067</v>
      </c>
      <c r="C341" s="50">
        <v>95261744.885913208</v>
      </c>
    </row>
    <row r="342" spans="1:3">
      <c r="A342">
        <f t="shared" si="5"/>
        <v>341</v>
      </c>
      <c r="B342" s="50">
        <v>669075929.5021503</v>
      </c>
      <c r="C342" s="50">
        <v>95261359.977506489</v>
      </c>
    </row>
    <row r="343" spans="1:3">
      <c r="A343">
        <f t="shared" si="5"/>
        <v>342</v>
      </c>
      <c r="B343" s="50">
        <v>669063825.55055237</v>
      </c>
      <c r="C343" s="50">
        <v>95259636.647104844</v>
      </c>
    </row>
    <row r="344" spans="1:3">
      <c r="A344">
        <f t="shared" si="5"/>
        <v>343</v>
      </c>
      <c r="B344" s="50">
        <v>669082596.80206192</v>
      </c>
      <c r="C344" s="50">
        <v>95262309.251017854</v>
      </c>
    </row>
    <row r="345" spans="1:3">
      <c r="A345">
        <f t="shared" si="5"/>
        <v>344</v>
      </c>
      <c r="B345" s="50">
        <v>669068514.79420495</v>
      </c>
      <c r="C345" s="50">
        <v>95260304.289905787</v>
      </c>
    </row>
    <row r="346" spans="1:3">
      <c r="A346">
        <f t="shared" si="5"/>
        <v>345</v>
      </c>
      <c r="B346" s="50">
        <v>669066803.73691201</v>
      </c>
      <c r="C346" s="50">
        <v>95260060.673841387</v>
      </c>
    </row>
    <row r="347" spans="1:3">
      <c r="A347">
        <f t="shared" si="5"/>
        <v>346</v>
      </c>
      <c r="B347" s="50">
        <v>669095409.77335072</v>
      </c>
      <c r="C347" s="50">
        <v>95264133.529872462</v>
      </c>
    </row>
    <row r="348" spans="1:3">
      <c r="A348">
        <f t="shared" si="5"/>
        <v>347</v>
      </c>
      <c r="B348" s="50">
        <v>669076935.73574138</v>
      </c>
      <c r="C348" s="50">
        <v>95261503.242532358</v>
      </c>
    </row>
    <row r="349" spans="1:3">
      <c r="A349">
        <f t="shared" si="5"/>
        <v>348</v>
      </c>
      <c r="B349" s="50">
        <v>669053739.09660077</v>
      </c>
      <c r="C349" s="50">
        <v>95258200.562979847</v>
      </c>
    </row>
    <row r="350" spans="1:3">
      <c r="A350">
        <f t="shared" si="5"/>
        <v>349</v>
      </c>
      <c r="B350" s="50">
        <v>669109155.77988267</v>
      </c>
      <c r="C350" s="50">
        <v>95266090.651954949</v>
      </c>
    </row>
    <row r="351" spans="1:3">
      <c r="A351">
        <f t="shared" si="5"/>
        <v>350</v>
      </c>
      <c r="B351" s="50">
        <v>669118399.13770664</v>
      </c>
      <c r="C351" s="50">
        <v>95267406.698158756</v>
      </c>
    </row>
    <row r="352" spans="1:3">
      <c r="A352">
        <f t="shared" si="5"/>
        <v>351</v>
      </c>
      <c r="B352" s="50">
        <v>669090464.48937237</v>
      </c>
      <c r="C352" s="50">
        <v>95263429.432689354</v>
      </c>
    </row>
    <row r="353" spans="1:3">
      <c r="A353">
        <f t="shared" si="5"/>
        <v>352</v>
      </c>
      <c r="B353" s="50">
        <v>669069999.88339138</v>
      </c>
      <c r="C353" s="50">
        <v>95260515.733195484</v>
      </c>
    </row>
    <row r="354" spans="1:3">
      <c r="A354">
        <f t="shared" si="5"/>
        <v>353</v>
      </c>
      <c r="B354" s="50">
        <v>669075835.52895546</v>
      </c>
      <c r="C354" s="50">
        <v>95261346.597837687</v>
      </c>
    </row>
    <row r="355" spans="1:3">
      <c r="A355">
        <f t="shared" si="5"/>
        <v>354</v>
      </c>
      <c r="B355" s="50">
        <v>669071387.82114255</v>
      </c>
      <c r="C355" s="50">
        <v>95260713.344306424</v>
      </c>
    </row>
    <row r="356" spans="1:3">
      <c r="A356">
        <f t="shared" si="5"/>
        <v>355</v>
      </c>
      <c r="B356" s="50">
        <v>669055902.15220594</v>
      </c>
      <c r="C356" s="50">
        <v>95258508.533435166</v>
      </c>
    </row>
    <row r="357" spans="1:3">
      <c r="A357">
        <f t="shared" si="5"/>
        <v>356</v>
      </c>
      <c r="B357" s="50">
        <v>669059832.56578386</v>
      </c>
      <c r="C357" s="50">
        <v>95259068.135905087</v>
      </c>
    </row>
    <row r="358" spans="1:3">
      <c r="A358">
        <f t="shared" si="5"/>
        <v>357</v>
      </c>
      <c r="B358" s="50">
        <v>669098229.70090425</v>
      </c>
      <c r="C358" s="50">
        <v>95264535.024115413</v>
      </c>
    </row>
    <row r="359" spans="1:3">
      <c r="A359">
        <f t="shared" si="5"/>
        <v>358</v>
      </c>
      <c r="B359" s="50">
        <v>669096550.90690315</v>
      </c>
      <c r="C359" s="50">
        <v>95264296.001617923</v>
      </c>
    </row>
    <row r="360" spans="1:3">
      <c r="A360">
        <f t="shared" si="5"/>
        <v>359</v>
      </c>
      <c r="B360" s="50">
        <v>669112167.72702563</v>
      </c>
      <c r="C360" s="50">
        <v>95266519.485467508</v>
      </c>
    </row>
    <row r="361" spans="1:3">
      <c r="A361">
        <f t="shared" si="5"/>
        <v>360</v>
      </c>
      <c r="B361" s="50">
        <v>669064828.30440998</v>
      </c>
      <c r="C361" s="50">
        <v>95259779.416694939</v>
      </c>
    </row>
    <row r="362" spans="1:3">
      <c r="A362">
        <f t="shared" si="5"/>
        <v>361</v>
      </c>
      <c r="B362" s="50">
        <v>669087329.48504686</v>
      </c>
      <c r="C362" s="50">
        <v>95262983.078602433</v>
      </c>
    </row>
    <row r="363" spans="1:3">
      <c r="A363">
        <f t="shared" si="5"/>
        <v>362</v>
      </c>
      <c r="B363" s="50">
        <v>669083289.34089482</v>
      </c>
      <c r="C363" s="50">
        <v>95262407.852967411</v>
      </c>
    </row>
    <row r="364" spans="1:3">
      <c r="A364">
        <f t="shared" si="5"/>
        <v>363</v>
      </c>
      <c r="B364" s="50">
        <v>669068916.54331636</v>
      </c>
      <c r="C364" s="50">
        <v>95260361.489941001</v>
      </c>
    </row>
    <row r="365" spans="1:3">
      <c r="A365">
        <f t="shared" si="5"/>
        <v>364</v>
      </c>
      <c r="B365" s="50">
        <v>669096507.91318154</v>
      </c>
      <c r="C365" s="50">
        <v>95264289.880279228</v>
      </c>
    </row>
    <row r="366" spans="1:3">
      <c r="A366">
        <f t="shared" si="5"/>
        <v>365</v>
      </c>
      <c r="B366" s="50">
        <v>669070812.9430896</v>
      </c>
      <c r="C366" s="50">
        <v>95260631.494604886</v>
      </c>
    </row>
    <row r="367" spans="1:3">
      <c r="A367">
        <f t="shared" si="5"/>
        <v>366</v>
      </c>
      <c r="B367" s="50">
        <v>669076007.7643826</v>
      </c>
      <c r="C367" s="50">
        <v>95261371.120287687</v>
      </c>
    </row>
    <row r="368" spans="1:3">
      <c r="A368">
        <f t="shared" si="5"/>
        <v>367</v>
      </c>
      <c r="B368" s="50">
        <v>668981857.59414959</v>
      </c>
      <c r="C368" s="50">
        <v>95247966.254168555</v>
      </c>
    </row>
    <row r="369" spans="1:3">
      <c r="A369">
        <f t="shared" si="5"/>
        <v>368</v>
      </c>
      <c r="B369" s="50">
        <v>669091312.16963744</v>
      </c>
      <c r="C369" s="50">
        <v>95263550.123288587</v>
      </c>
    </row>
    <row r="370" spans="1:3">
      <c r="A370">
        <f t="shared" si="5"/>
        <v>369</v>
      </c>
      <c r="B370" s="50">
        <v>669096737.2493217</v>
      </c>
      <c r="C370" s="50">
        <v>95264322.532586142</v>
      </c>
    </row>
    <row r="371" spans="1:3">
      <c r="A371">
        <f t="shared" si="5"/>
        <v>370</v>
      </c>
      <c r="B371" s="50">
        <v>669105968.33586383</v>
      </c>
      <c r="C371" s="50">
        <v>95265636.83163546</v>
      </c>
    </row>
    <row r="372" spans="1:3">
      <c r="A372">
        <f t="shared" si="5"/>
        <v>371</v>
      </c>
      <c r="B372" s="50">
        <v>669078811.29673338</v>
      </c>
      <c r="C372" s="50">
        <v>95261770.28022261</v>
      </c>
    </row>
    <row r="373" spans="1:3">
      <c r="A373">
        <f t="shared" si="5"/>
        <v>372</v>
      </c>
      <c r="B373" s="50">
        <v>669079470.81418085</v>
      </c>
      <c r="C373" s="50">
        <v>95261864.180669785</v>
      </c>
    </row>
    <row r="374" spans="1:3">
      <c r="A374">
        <f t="shared" si="5"/>
        <v>373</v>
      </c>
      <c r="B374" s="50">
        <v>669070995.51675344</v>
      </c>
      <c r="C374" s="50">
        <v>95260657.488987193</v>
      </c>
    </row>
    <row r="375" spans="1:3">
      <c r="A375">
        <f t="shared" si="5"/>
        <v>374</v>
      </c>
      <c r="B375" s="50">
        <v>669100904.9746784</v>
      </c>
      <c r="C375" s="50">
        <v>95264915.92291449</v>
      </c>
    </row>
    <row r="376" spans="1:3">
      <c r="A376">
        <f t="shared" si="5"/>
        <v>375</v>
      </c>
      <c r="B376" s="50">
        <v>669084573.04276145</v>
      </c>
      <c r="C376" s="50">
        <v>95262590.623233438</v>
      </c>
    </row>
    <row r="377" spans="1:3">
      <c r="A377">
        <f t="shared" si="5"/>
        <v>376</v>
      </c>
      <c r="B377" s="50">
        <v>669082488.4775182</v>
      </c>
      <c r="C377" s="50">
        <v>95262293.828039825</v>
      </c>
    </row>
    <row r="378" spans="1:3">
      <c r="A378">
        <f t="shared" si="5"/>
        <v>377</v>
      </c>
      <c r="B378" s="50">
        <v>669030442.64273036</v>
      </c>
      <c r="C378" s="50">
        <v>95254883.672055364</v>
      </c>
    </row>
    <row r="379" spans="1:3">
      <c r="A379">
        <f t="shared" si="5"/>
        <v>378</v>
      </c>
      <c r="B379" s="50">
        <v>669072212.07978427</v>
      </c>
      <c r="C379" s="50">
        <v>95260830.700193435</v>
      </c>
    </row>
    <row r="380" spans="1:3">
      <c r="A380">
        <f t="shared" si="5"/>
        <v>379</v>
      </c>
      <c r="B380" s="50">
        <v>669045490.99606383</v>
      </c>
      <c r="C380" s="50">
        <v>95257026.219023153</v>
      </c>
    </row>
    <row r="381" spans="1:3">
      <c r="A381">
        <f t="shared" si="5"/>
        <v>380</v>
      </c>
      <c r="B381" s="50">
        <v>669093585.23611689</v>
      </c>
      <c r="C381" s="50">
        <v>95263873.75681746</v>
      </c>
    </row>
    <row r="382" spans="1:3">
      <c r="A382">
        <f t="shared" si="5"/>
        <v>381</v>
      </c>
      <c r="B382" s="50">
        <v>669076570.97212613</v>
      </c>
      <c r="C382" s="50">
        <v>95261451.308399722</v>
      </c>
    </row>
    <row r="383" spans="1:3">
      <c r="A383">
        <f t="shared" si="5"/>
        <v>382</v>
      </c>
      <c r="B383" s="50">
        <v>669039161.79154348</v>
      </c>
      <c r="C383" s="50">
        <v>95256125.0826893</v>
      </c>
    </row>
    <row r="384" spans="1:3">
      <c r="A384">
        <f t="shared" si="5"/>
        <v>383</v>
      </c>
      <c r="B384" s="50">
        <v>669079596.9241221</v>
      </c>
      <c r="C384" s="50">
        <v>95261882.135888278</v>
      </c>
    </row>
    <row r="385" spans="1:3">
      <c r="A385">
        <f t="shared" si="5"/>
        <v>384</v>
      </c>
      <c r="B385" s="50">
        <v>669086488.06466341</v>
      </c>
      <c r="C385" s="50">
        <v>95262863.279269502</v>
      </c>
    </row>
    <row r="386" spans="1:3">
      <c r="A386">
        <f t="shared" si="5"/>
        <v>385</v>
      </c>
      <c r="B386" s="50">
        <v>669086225.80080438</v>
      </c>
      <c r="C386" s="50">
        <v>95262825.938796192</v>
      </c>
    </row>
    <row r="387" spans="1:3">
      <c r="A387">
        <f t="shared" si="5"/>
        <v>386</v>
      </c>
      <c r="B387" s="50">
        <v>669067512.46381223</v>
      </c>
      <c r="C387" s="50">
        <v>95260161.580607563</v>
      </c>
    </row>
    <row r="388" spans="1:3">
      <c r="A388">
        <f t="shared" si="5"/>
        <v>387</v>
      </c>
      <c r="B388" s="50">
        <v>669078202.35610163</v>
      </c>
      <c r="C388" s="50">
        <v>95261683.58077614</v>
      </c>
    </row>
    <row r="389" spans="1:3">
      <c r="A389">
        <f t="shared" ref="A389:A452" si="6">A388+1</f>
        <v>388</v>
      </c>
      <c r="B389" s="50">
        <v>669082744.86834311</v>
      </c>
      <c r="C389" s="50">
        <v>95262330.332325205</v>
      </c>
    </row>
    <row r="390" spans="1:3">
      <c r="A390">
        <f t="shared" si="6"/>
        <v>389</v>
      </c>
      <c r="B390" s="50">
        <v>669098052.11740768</v>
      </c>
      <c r="C390" s="50">
        <v>95264509.740220636</v>
      </c>
    </row>
    <row r="391" spans="1:3">
      <c r="A391">
        <f t="shared" si="6"/>
        <v>390</v>
      </c>
      <c r="B391" s="50">
        <v>669069091.44094253</v>
      </c>
      <c r="C391" s="50">
        <v>95260386.391428232</v>
      </c>
    </row>
    <row r="392" spans="1:3">
      <c r="A392">
        <f t="shared" si="6"/>
        <v>391</v>
      </c>
      <c r="B392" s="50">
        <v>669082875.99677837</v>
      </c>
      <c r="C392" s="50">
        <v>95262349.002064347</v>
      </c>
    </row>
    <row r="393" spans="1:3">
      <c r="A393">
        <f t="shared" si="6"/>
        <v>392</v>
      </c>
      <c r="B393" s="50">
        <v>669109736.05135655</v>
      </c>
      <c r="C393" s="50">
        <v>95266173.269558311</v>
      </c>
    </row>
    <row r="394" spans="1:3">
      <c r="A394">
        <f t="shared" si="6"/>
        <v>393</v>
      </c>
      <c r="B394" s="50">
        <v>669078077.91549873</v>
      </c>
      <c r="C394" s="50">
        <v>95261665.863233864</v>
      </c>
    </row>
    <row r="395" spans="1:3">
      <c r="A395">
        <f t="shared" si="6"/>
        <v>394</v>
      </c>
      <c r="B395" s="50">
        <v>669098202.24809444</v>
      </c>
      <c r="C395" s="50">
        <v>95264531.115452901</v>
      </c>
    </row>
    <row r="396" spans="1:3">
      <c r="A396">
        <f t="shared" si="6"/>
        <v>395</v>
      </c>
      <c r="B396" s="50">
        <v>669014563.67657518</v>
      </c>
      <c r="C396" s="50">
        <v>95252622.864508301</v>
      </c>
    </row>
    <row r="397" spans="1:3">
      <c r="A397">
        <f t="shared" si="6"/>
        <v>396</v>
      </c>
      <c r="B397" s="50">
        <v>669077617.3489027</v>
      </c>
      <c r="C397" s="50">
        <v>95261600.288912073</v>
      </c>
    </row>
    <row r="398" spans="1:3">
      <c r="A398">
        <f t="shared" si="6"/>
        <v>397</v>
      </c>
      <c r="B398" s="50">
        <v>669089737.53927135</v>
      </c>
      <c r="C398" s="50">
        <v>95263325.931349352</v>
      </c>
    </row>
    <row r="399" spans="1:3">
      <c r="A399">
        <f t="shared" si="6"/>
        <v>398</v>
      </c>
      <c r="B399" s="50">
        <v>669098376.15114868</v>
      </c>
      <c r="C399" s="50">
        <v>95264555.875335485</v>
      </c>
    </row>
    <row r="400" spans="1:3">
      <c r="A400">
        <f t="shared" si="6"/>
        <v>399</v>
      </c>
      <c r="B400" s="50">
        <v>669080270.91594696</v>
      </c>
      <c r="C400" s="50">
        <v>95261978.097161159</v>
      </c>
    </row>
    <row r="401" spans="1:3">
      <c r="A401">
        <f t="shared" si="6"/>
        <v>400</v>
      </c>
      <c r="B401" s="50">
        <v>669101151.82942545</v>
      </c>
      <c r="C401" s="50">
        <v>95264951.069476902</v>
      </c>
    </row>
    <row r="402" spans="1:3">
      <c r="A402">
        <f t="shared" si="6"/>
        <v>401</v>
      </c>
      <c r="B402" s="50">
        <v>669030997.09459436</v>
      </c>
      <c r="C402" s="50">
        <v>95254962.613527149</v>
      </c>
    </row>
    <row r="403" spans="1:3">
      <c r="A403">
        <f t="shared" si="6"/>
        <v>402</v>
      </c>
      <c r="B403" s="50">
        <v>669082050.0608381</v>
      </c>
      <c r="C403" s="50">
        <v>95262231.407367751</v>
      </c>
    </row>
    <row r="404" spans="1:3">
      <c r="A404">
        <f t="shared" si="6"/>
        <v>403</v>
      </c>
      <c r="B404" s="50">
        <v>669082790.62507963</v>
      </c>
      <c r="C404" s="50">
        <v>95262336.847055078</v>
      </c>
    </row>
    <row r="405" spans="1:3">
      <c r="A405">
        <f t="shared" si="6"/>
        <v>404</v>
      </c>
      <c r="B405" s="50">
        <v>669087510.97589743</v>
      </c>
      <c r="C405" s="50">
        <v>95263008.918816507</v>
      </c>
    </row>
    <row r="406" spans="1:3">
      <c r="A406">
        <f t="shared" si="6"/>
        <v>405</v>
      </c>
      <c r="B406" s="50">
        <v>669114862.21136749</v>
      </c>
      <c r="C406" s="50">
        <v>95266903.119419247</v>
      </c>
    </row>
    <row r="407" spans="1:3">
      <c r="A407">
        <f t="shared" si="6"/>
        <v>406</v>
      </c>
      <c r="B407" s="50">
        <v>669109239.92013967</v>
      </c>
      <c r="C407" s="50">
        <v>95266102.631634638</v>
      </c>
    </row>
    <row r="408" spans="1:3">
      <c r="A408">
        <f t="shared" si="6"/>
        <v>407</v>
      </c>
      <c r="B408" s="50">
        <v>669066559.23726714</v>
      </c>
      <c r="C408" s="50">
        <v>95260025.862592533</v>
      </c>
    </row>
    <row r="409" spans="1:3">
      <c r="A409">
        <f t="shared" si="6"/>
        <v>408</v>
      </c>
      <c r="B409" s="50">
        <v>669044580.33329284</v>
      </c>
      <c r="C409" s="50">
        <v>95256896.561131999</v>
      </c>
    </row>
    <row r="410" spans="1:3">
      <c r="A410">
        <f t="shared" si="6"/>
        <v>409</v>
      </c>
      <c r="B410" s="50">
        <v>669066842.89094937</v>
      </c>
      <c r="C410" s="50">
        <v>95260066.248495445</v>
      </c>
    </row>
    <row r="411" spans="1:3">
      <c r="A411">
        <f t="shared" si="6"/>
        <v>410</v>
      </c>
      <c r="B411" s="50">
        <v>669064147.83264053</v>
      </c>
      <c r="C411" s="50">
        <v>95259682.532823741</v>
      </c>
    </row>
    <row r="412" spans="1:3">
      <c r="A412">
        <f t="shared" si="6"/>
        <v>411</v>
      </c>
      <c r="B412" s="50">
        <v>669104240.85002887</v>
      </c>
      <c r="C412" s="50">
        <v>95265390.876516283</v>
      </c>
    </row>
    <row r="413" spans="1:3">
      <c r="A413">
        <f t="shared" si="6"/>
        <v>412</v>
      </c>
      <c r="B413" s="50">
        <v>669064463.21065009</v>
      </c>
      <c r="C413" s="50">
        <v>95259727.435557142</v>
      </c>
    </row>
    <row r="414" spans="1:3">
      <c r="A414">
        <f t="shared" si="6"/>
        <v>413</v>
      </c>
      <c r="B414" s="50">
        <v>669067166.18614006</v>
      </c>
      <c r="C414" s="50">
        <v>95260112.278457344</v>
      </c>
    </row>
    <row r="415" spans="1:3">
      <c r="A415">
        <f t="shared" si="6"/>
        <v>414</v>
      </c>
      <c r="B415" s="50">
        <v>669101501.66787648</v>
      </c>
      <c r="C415" s="50">
        <v>95265000.878601909</v>
      </c>
    </row>
    <row r="416" spans="1:3">
      <c r="A416">
        <f t="shared" si="6"/>
        <v>415</v>
      </c>
      <c r="B416" s="50">
        <v>669085371.53279805</v>
      </c>
      <c r="C416" s="50">
        <v>95262704.310250804</v>
      </c>
    </row>
    <row r="417" spans="1:3">
      <c r="A417">
        <f t="shared" si="6"/>
        <v>416</v>
      </c>
      <c r="B417" s="50">
        <v>669104240.85002887</v>
      </c>
      <c r="C417" s="50">
        <v>95265390.876516283</v>
      </c>
    </row>
    <row r="418" spans="1:3">
      <c r="A418">
        <f t="shared" si="6"/>
        <v>417</v>
      </c>
      <c r="B418" s="50">
        <v>669115329.99290323</v>
      </c>
      <c r="C418" s="50">
        <v>95266969.720986143</v>
      </c>
    </row>
    <row r="419" spans="1:3">
      <c r="A419">
        <f t="shared" si="6"/>
        <v>418</v>
      </c>
      <c r="B419" s="50">
        <v>669100019.21502638</v>
      </c>
      <c r="C419" s="50">
        <v>95264789.810667202</v>
      </c>
    </row>
    <row r="420" spans="1:3">
      <c r="A420">
        <f t="shared" si="6"/>
        <v>419</v>
      </c>
      <c r="B420" s="50">
        <v>669089672.81157458</v>
      </c>
      <c r="C420" s="50">
        <v>95263316.715581536</v>
      </c>
    </row>
    <row r="421" spans="1:3">
      <c r="A421">
        <f t="shared" si="6"/>
        <v>420</v>
      </c>
      <c r="B421" s="50">
        <v>669099821.05211318</v>
      </c>
      <c r="C421" s="50">
        <v>95264761.596726492</v>
      </c>
    </row>
    <row r="422" spans="1:3">
      <c r="A422">
        <f t="shared" si="6"/>
        <v>421</v>
      </c>
      <c r="B422" s="50">
        <v>669067138.65139008</v>
      </c>
      <c r="C422" s="50">
        <v>95260108.358128414</v>
      </c>
    </row>
    <row r="423" spans="1:3">
      <c r="A423">
        <f t="shared" si="6"/>
        <v>422</v>
      </c>
      <c r="B423" s="50">
        <v>669065053.55653822</v>
      </c>
      <c r="C423" s="50">
        <v>95259811.487530455</v>
      </c>
    </row>
    <row r="424" spans="1:3">
      <c r="A424">
        <f t="shared" si="6"/>
        <v>423</v>
      </c>
      <c r="B424" s="50">
        <v>669056744.57820296</v>
      </c>
      <c r="C424" s="50">
        <v>95258628.475944847</v>
      </c>
    </row>
    <row r="425" spans="1:3">
      <c r="A425">
        <f t="shared" si="6"/>
        <v>424</v>
      </c>
      <c r="B425" s="50">
        <v>669093372.01912534</v>
      </c>
      <c r="C425" s="50">
        <v>95263843.399514675</v>
      </c>
    </row>
    <row r="426" spans="1:3">
      <c r="A426">
        <f t="shared" si="6"/>
        <v>425</v>
      </c>
      <c r="B426" s="50">
        <v>669098531.90163684</v>
      </c>
      <c r="C426" s="50">
        <v>95264578.050701037</v>
      </c>
    </row>
    <row r="427" spans="1:3">
      <c r="A427">
        <f t="shared" si="6"/>
        <v>426</v>
      </c>
      <c r="B427" s="50">
        <v>669103497.86406493</v>
      </c>
      <c r="C427" s="50">
        <v>95265285.092030197</v>
      </c>
    </row>
    <row r="428" spans="1:3">
      <c r="A428">
        <f t="shared" si="6"/>
        <v>427</v>
      </c>
      <c r="B428" s="50">
        <v>669099491.81297851</v>
      </c>
      <c r="C428" s="50">
        <v>95264714.720480695</v>
      </c>
    </row>
    <row r="429" spans="1:3">
      <c r="A429">
        <f t="shared" si="6"/>
        <v>428</v>
      </c>
      <c r="B429" s="50">
        <v>669061291.12158287</v>
      </c>
      <c r="C429" s="50">
        <v>95259275.801437333</v>
      </c>
    </row>
    <row r="430" spans="1:3">
      <c r="A430">
        <f t="shared" si="6"/>
        <v>429</v>
      </c>
      <c r="B430" s="50">
        <v>669098844.38892031</v>
      </c>
      <c r="C430" s="50">
        <v>95264622.541860089</v>
      </c>
    </row>
    <row r="431" spans="1:3">
      <c r="A431">
        <f t="shared" si="6"/>
        <v>430</v>
      </c>
      <c r="B431" s="50">
        <v>669071092.27118397</v>
      </c>
      <c r="C431" s="50">
        <v>95260671.264641389</v>
      </c>
    </row>
    <row r="432" spans="1:3">
      <c r="A432">
        <f t="shared" si="6"/>
        <v>431</v>
      </c>
      <c r="B432" s="50">
        <v>669114197.37850416</v>
      </c>
      <c r="C432" s="50">
        <v>95266808.462176442</v>
      </c>
    </row>
    <row r="433" spans="1:3">
      <c r="A433">
        <f t="shared" si="6"/>
        <v>432</v>
      </c>
      <c r="B433" s="50">
        <v>669015076.8522253</v>
      </c>
      <c r="C433" s="50">
        <v>95252695.929175824</v>
      </c>
    </row>
    <row r="434" spans="1:3">
      <c r="A434">
        <f t="shared" si="6"/>
        <v>433</v>
      </c>
      <c r="B434" s="50">
        <v>669068400.73316431</v>
      </c>
      <c r="C434" s="50">
        <v>95260288.05017966</v>
      </c>
    </row>
    <row r="435" spans="1:3">
      <c r="A435">
        <f t="shared" si="6"/>
        <v>434</v>
      </c>
      <c r="B435" s="50">
        <v>669068839.82157981</v>
      </c>
      <c r="C435" s="50">
        <v>95260350.566491738</v>
      </c>
    </row>
    <row r="436" spans="1:3">
      <c r="A436">
        <f t="shared" si="6"/>
        <v>435</v>
      </c>
      <c r="B436" s="50">
        <v>669088421.66965318</v>
      </c>
      <c r="C436" s="50">
        <v>95263138.58111921</v>
      </c>
    </row>
    <row r="437" spans="1:3">
      <c r="A437">
        <f t="shared" si="6"/>
        <v>436</v>
      </c>
      <c r="B437" s="50">
        <v>669052301.54408669</v>
      </c>
      <c r="C437" s="50">
        <v>95257995.887842849</v>
      </c>
    </row>
    <row r="438" spans="1:3">
      <c r="A438">
        <f t="shared" si="6"/>
        <v>437</v>
      </c>
      <c r="B438" s="50">
        <v>669096345.04257607</v>
      </c>
      <c r="C438" s="50">
        <v>95264266.691169143</v>
      </c>
    </row>
    <row r="439" spans="1:3">
      <c r="A439">
        <f t="shared" si="6"/>
        <v>438</v>
      </c>
      <c r="B439" s="50">
        <v>669104059.35917842</v>
      </c>
      <c r="C439" s="50">
        <v>95265365.036302239</v>
      </c>
    </row>
    <row r="440" spans="1:3">
      <c r="A440">
        <f t="shared" si="6"/>
        <v>439</v>
      </c>
      <c r="B440" s="50">
        <v>669104266.42394114</v>
      </c>
      <c r="C440" s="50">
        <v>95265394.517666042</v>
      </c>
    </row>
    <row r="441" spans="1:3">
      <c r="A441">
        <f t="shared" si="6"/>
        <v>440</v>
      </c>
      <c r="B441" s="50">
        <v>669100019.21502638</v>
      </c>
      <c r="C441" s="50">
        <v>95264789.810667202</v>
      </c>
    </row>
    <row r="442" spans="1:3">
      <c r="A442">
        <f t="shared" si="6"/>
        <v>441</v>
      </c>
      <c r="B442" s="50">
        <v>669105721.48111677</v>
      </c>
      <c r="C442" s="50">
        <v>95265601.685073048</v>
      </c>
    </row>
    <row r="443" spans="1:3">
      <c r="A443">
        <f t="shared" si="6"/>
        <v>442</v>
      </c>
      <c r="B443" s="50">
        <v>669082175.93706346</v>
      </c>
      <c r="C443" s="50">
        <v>95262249.329310387</v>
      </c>
    </row>
    <row r="444" spans="1:3">
      <c r="A444">
        <f t="shared" si="6"/>
        <v>443</v>
      </c>
      <c r="B444" s="50">
        <v>669114212.69401562</v>
      </c>
      <c r="C444" s="50">
        <v>95266810.642760709</v>
      </c>
    </row>
    <row r="445" spans="1:3">
      <c r="A445">
        <f t="shared" si="6"/>
        <v>444</v>
      </c>
      <c r="B445" s="50">
        <v>669024220.85411358</v>
      </c>
      <c r="C445" s="50">
        <v>95253997.82932961</v>
      </c>
    </row>
    <row r="446" spans="1:3">
      <c r="A446">
        <f t="shared" si="6"/>
        <v>445</v>
      </c>
      <c r="B446" s="50">
        <v>669091818.25167763</v>
      </c>
      <c r="C446" s="50">
        <v>95263622.177985653</v>
      </c>
    </row>
    <row r="447" spans="1:3">
      <c r="A447">
        <f t="shared" si="6"/>
        <v>446</v>
      </c>
      <c r="B447" s="50">
        <v>669062297.59631324</v>
      </c>
      <c r="C447" s="50">
        <v>95259419.100795999</v>
      </c>
    </row>
    <row r="448" spans="1:3">
      <c r="A448">
        <f t="shared" si="6"/>
        <v>447</v>
      </c>
      <c r="B448" s="50">
        <v>669075600.55452645</v>
      </c>
      <c r="C448" s="50">
        <v>95261313.142765269</v>
      </c>
    </row>
    <row r="449" spans="1:3">
      <c r="A449">
        <f t="shared" si="6"/>
        <v>448</v>
      </c>
      <c r="B449" s="50">
        <v>669065995.80307209</v>
      </c>
      <c r="C449" s="50">
        <v>95259945.642238885</v>
      </c>
    </row>
    <row r="450" spans="1:3">
      <c r="A450">
        <f t="shared" si="6"/>
        <v>449</v>
      </c>
      <c r="B450" s="50">
        <v>669105937.84761691</v>
      </c>
      <c r="C450" s="50">
        <v>95265632.490795001</v>
      </c>
    </row>
    <row r="451" spans="1:3">
      <c r="A451">
        <f t="shared" si="6"/>
        <v>450</v>
      </c>
      <c r="B451" s="50">
        <v>669052727.47036624</v>
      </c>
      <c r="C451" s="50">
        <v>95258056.530162886</v>
      </c>
    </row>
    <row r="452" spans="1:3">
      <c r="A452">
        <f t="shared" si="6"/>
        <v>451</v>
      </c>
      <c r="B452" s="50">
        <v>669057833.36719418</v>
      </c>
      <c r="C452" s="50">
        <v>95258783.495002419</v>
      </c>
    </row>
    <row r="453" spans="1:3">
      <c r="A453">
        <f t="shared" ref="A453:A501" si="7">A452+1</f>
        <v>452</v>
      </c>
      <c r="B453" s="50">
        <v>669092734.49957657</v>
      </c>
      <c r="C453" s="50">
        <v>95263752.631073385</v>
      </c>
    </row>
    <row r="454" spans="1:3">
      <c r="A454">
        <f t="shared" si="7"/>
        <v>453</v>
      </c>
      <c r="B454" s="50">
        <v>669073377.48776746</v>
      </c>
      <c r="C454" s="50">
        <v>95260996.62807174</v>
      </c>
    </row>
    <row r="455" spans="1:3">
      <c r="A455">
        <f t="shared" si="7"/>
        <v>454</v>
      </c>
      <c r="B455" s="50">
        <v>669070677.0585624</v>
      </c>
      <c r="C455" s="50">
        <v>95260612.147705242</v>
      </c>
    </row>
    <row r="456" spans="1:3">
      <c r="A456">
        <f t="shared" si="7"/>
        <v>455</v>
      </c>
      <c r="B456" s="50">
        <v>669107909.14282739</v>
      </c>
      <c r="C456" s="50">
        <v>95265913.158884212</v>
      </c>
    </row>
    <row r="457" spans="1:3">
      <c r="A457">
        <f t="shared" si="7"/>
        <v>456</v>
      </c>
      <c r="B457" s="50">
        <v>669082793.04680204</v>
      </c>
      <c r="C457" s="50">
        <v>95262337.191853866</v>
      </c>
    </row>
    <row r="458" spans="1:3">
      <c r="A458">
        <f t="shared" si="7"/>
        <v>457</v>
      </c>
      <c r="B458" s="50">
        <v>669100668.73237824</v>
      </c>
      <c r="C458" s="50">
        <v>95264882.287325755</v>
      </c>
    </row>
    <row r="459" spans="1:3">
      <c r="A459">
        <f t="shared" si="7"/>
        <v>458</v>
      </c>
      <c r="B459" s="50">
        <v>669053871.43878043</v>
      </c>
      <c r="C459" s="50">
        <v>95258219.405528888</v>
      </c>
    </row>
    <row r="460" spans="1:3">
      <c r="A460">
        <f t="shared" si="7"/>
        <v>459</v>
      </c>
      <c r="B460" s="50">
        <v>669121114.00471509</v>
      </c>
      <c r="C460" s="50">
        <v>95267793.234143645</v>
      </c>
    </row>
    <row r="461" spans="1:3">
      <c r="A461">
        <f t="shared" si="7"/>
        <v>460</v>
      </c>
      <c r="B461" s="50">
        <v>669088463.97294629</v>
      </c>
      <c r="C461" s="50">
        <v>95263144.604156435</v>
      </c>
    </row>
    <row r="462" spans="1:3">
      <c r="A462">
        <f t="shared" si="7"/>
        <v>461</v>
      </c>
      <c r="B462" s="50">
        <v>669076799.43483901</v>
      </c>
      <c r="C462" s="50">
        <v>95261483.836350262</v>
      </c>
    </row>
    <row r="463" spans="1:3">
      <c r="A463">
        <f t="shared" si="7"/>
        <v>462</v>
      </c>
      <c r="B463" s="50">
        <v>669086851.48229814</v>
      </c>
      <c r="C463" s="50">
        <v>95262915.021764785</v>
      </c>
    </row>
    <row r="464" spans="1:3">
      <c r="A464">
        <f t="shared" si="7"/>
        <v>463</v>
      </c>
      <c r="B464" s="50">
        <v>669114070.53356969</v>
      </c>
      <c r="C464" s="50">
        <v>95266790.402311429</v>
      </c>
    </row>
    <row r="465" spans="1:3">
      <c r="A465">
        <f t="shared" si="7"/>
        <v>464</v>
      </c>
      <c r="B465" s="50">
        <v>669114023.05025566</v>
      </c>
      <c r="C465" s="50">
        <v>95266783.64175576</v>
      </c>
    </row>
    <row r="466" spans="1:3">
      <c r="A466">
        <f t="shared" si="7"/>
        <v>465</v>
      </c>
      <c r="B466" s="50">
        <v>669095409.77335072</v>
      </c>
      <c r="C466" s="50">
        <v>95264133.529872462</v>
      </c>
    </row>
    <row r="467" spans="1:3">
      <c r="A467">
        <f t="shared" si="7"/>
        <v>466</v>
      </c>
      <c r="B467" s="50">
        <v>669040090.44066215</v>
      </c>
      <c r="C467" s="50">
        <v>95256257.301431715</v>
      </c>
    </row>
    <row r="468" spans="1:3">
      <c r="A468">
        <f t="shared" si="7"/>
        <v>467</v>
      </c>
      <c r="B468" s="50">
        <v>669070624.43588722</v>
      </c>
      <c r="C468" s="50">
        <v>95260604.655420154</v>
      </c>
    </row>
    <row r="469" spans="1:3">
      <c r="A469">
        <f t="shared" si="7"/>
        <v>468</v>
      </c>
      <c r="B469" s="50">
        <v>669104620.24782276</v>
      </c>
      <c r="C469" s="50">
        <v>95265444.89422673</v>
      </c>
    </row>
    <row r="470" spans="1:3">
      <c r="A470">
        <f t="shared" si="7"/>
        <v>469</v>
      </c>
      <c r="B470" s="50">
        <v>669105937.84761691</v>
      </c>
      <c r="C470" s="50">
        <v>95265632.490795001</v>
      </c>
    </row>
    <row r="471" spans="1:3">
      <c r="A471">
        <f t="shared" si="7"/>
        <v>470</v>
      </c>
      <c r="B471" s="50">
        <v>669074041.81921947</v>
      </c>
      <c r="C471" s="50">
        <v>95261091.21392487</v>
      </c>
    </row>
    <row r="472" spans="1:3">
      <c r="A472">
        <f t="shared" si="7"/>
        <v>471</v>
      </c>
      <c r="B472" s="50">
        <v>669084492.55094945</v>
      </c>
      <c r="C472" s="50">
        <v>95262579.16301024</v>
      </c>
    </row>
    <row r="473" spans="1:3">
      <c r="A473">
        <f t="shared" si="7"/>
        <v>472</v>
      </c>
      <c r="B473" s="50">
        <v>669072991.46640098</v>
      </c>
      <c r="C473" s="50">
        <v>95260941.667313591</v>
      </c>
    </row>
    <row r="474" spans="1:3">
      <c r="A474">
        <f t="shared" si="7"/>
        <v>473</v>
      </c>
      <c r="B474" s="50">
        <v>669083740.67580628</v>
      </c>
      <c r="C474" s="50">
        <v>95262472.112905011</v>
      </c>
    </row>
    <row r="475" spans="1:3">
      <c r="A475">
        <f t="shared" si="7"/>
        <v>474</v>
      </c>
      <c r="B475" s="50">
        <v>669098701.63475966</v>
      </c>
      <c r="C475" s="50">
        <v>95264602.216879204</v>
      </c>
    </row>
    <row r="476" spans="1:3">
      <c r="A476">
        <f t="shared" si="7"/>
        <v>475</v>
      </c>
      <c r="B476" s="50">
        <v>669094504.63352442</v>
      </c>
      <c r="C476" s="50">
        <v>95264004.658324376</v>
      </c>
    </row>
    <row r="477" spans="1:3">
      <c r="A477">
        <f t="shared" si="7"/>
        <v>476</v>
      </c>
      <c r="B477" s="50">
        <v>669053488.57307208</v>
      </c>
      <c r="C477" s="50">
        <v>95258164.894065455</v>
      </c>
    </row>
    <row r="478" spans="1:3">
      <c r="A478">
        <f t="shared" si="7"/>
        <v>477</v>
      </c>
      <c r="B478" s="50">
        <v>669081581.44832397</v>
      </c>
      <c r="C478" s="50">
        <v>95262164.687488258</v>
      </c>
    </row>
    <row r="479" spans="1:3">
      <c r="A479">
        <f t="shared" si="7"/>
        <v>478</v>
      </c>
      <c r="B479" s="50">
        <v>669098279.54949546</v>
      </c>
      <c r="C479" s="50">
        <v>95264542.121433347</v>
      </c>
    </row>
    <row r="480" spans="1:3">
      <c r="A480">
        <f t="shared" si="7"/>
        <v>479</v>
      </c>
      <c r="B480" s="50">
        <v>669069244.0030508</v>
      </c>
      <c r="C480" s="50">
        <v>95260408.11284022</v>
      </c>
    </row>
    <row r="481" spans="1:3">
      <c r="A481">
        <f t="shared" si="7"/>
        <v>480</v>
      </c>
      <c r="B481" s="50">
        <v>669098716.47116399</v>
      </c>
      <c r="C481" s="50">
        <v>95264604.329249397</v>
      </c>
    </row>
    <row r="482" spans="1:3">
      <c r="A482">
        <f t="shared" si="7"/>
        <v>481</v>
      </c>
      <c r="B482" s="50">
        <v>669088459.51484752</v>
      </c>
      <c r="C482" s="50">
        <v>95263143.969423473</v>
      </c>
    </row>
    <row r="483" spans="1:3">
      <c r="A483">
        <f t="shared" si="7"/>
        <v>482</v>
      </c>
      <c r="B483" s="50">
        <v>669101786.74800909</v>
      </c>
      <c r="C483" s="50">
        <v>95265041.467599273</v>
      </c>
    </row>
    <row r="484" spans="1:3">
      <c r="A484">
        <f t="shared" si="7"/>
        <v>483</v>
      </c>
      <c r="B484" s="50">
        <v>669095153.73302495</v>
      </c>
      <c r="C484" s="50">
        <v>95264097.075490281</v>
      </c>
    </row>
    <row r="485" spans="1:3">
      <c r="A485">
        <f t="shared" si="7"/>
        <v>484</v>
      </c>
      <c r="B485" s="50">
        <v>669077403.29205966</v>
      </c>
      <c r="C485" s="50">
        <v>95261569.812033325</v>
      </c>
    </row>
    <row r="486" spans="1:3">
      <c r="A486">
        <f t="shared" si="7"/>
        <v>485</v>
      </c>
      <c r="B486" s="50">
        <v>669115041.35295451</v>
      </c>
      <c r="C486" s="50">
        <v>95266928.625151038</v>
      </c>
    </row>
    <row r="487" spans="1:3">
      <c r="A487">
        <f t="shared" si="7"/>
        <v>486</v>
      </c>
      <c r="B487" s="50">
        <v>669084419.37069547</v>
      </c>
      <c r="C487" s="50">
        <v>95262568.743788436</v>
      </c>
    </row>
    <row r="488" spans="1:3">
      <c r="A488">
        <f t="shared" si="7"/>
        <v>487</v>
      </c>
      <c r="B488" s="50">
        <v>669084177.6102469</v>
      </c>
      <c r="C488" s="50">
        <v>95262534.322539508</v>
      </c>
    </row>
    <row r="489" spans="1:3">
      <c r="A489">
        <f t="shared" si="7"/>
        <v>488</v>
      </c>
      <c r="B489" s="50">
        <v>669104535.18808997</v>
      </c>
      <c r="C489" s="50">
        <v>95265432.783634394</v>
      </c>
    </row>
    <row r="490" spans="1:3">
      <c r="A490">
        <f t="shared" si="7"/>
        <v>489</v>
      </c>
      <c r="B490" s="50">
        <v>669105978.49207497</v>
      </c>
      <c r="C490" s="50">
        <v>95265638.277651444</v>
      </c>
    </row>
    <row r="491" spans="1:3">
      <c r="A491">
        <f t="shared" si="7"/>
        <v>490</v>
      </c>
      <c r="B491" s="50">
        <v>669078192.38142979</v>
      </c>
      <c r="C491" s="50">
        <v>95261682.160607278</v>
      </c>
    </row>
    <row r="492" spans="1:3">
      <c r="A492">
        <f t="shared" si="7"/>
        <v>491</v>
      </c>
      <c r="B492" s="50">
        <v>669085799.22003269</v>
      </c>
      <c r="C492" s="50">
        <v>95262765.203291222</v>
      </c>
    </row>
    <row r="493" spans="1:3">
      <c r="A493">
        <f t="shared" si="7"/>
        <v>492</v>
      </c>
      <c r="B493" s="50">
        <v>669111227.29489148</v>
      </c>
      <c r="C493" s="50">
        <v>95266385.589088768</v>
      </c>
    </row>
    <row r="494" spans="1:3">
      <c r="A494">
        <f t="shared" si="7"/>
        <v>493</v>
      </c>
      <c r="B494" s="50">
        <v>669110224.84651613</v>
      </c>
      <c r="C494" s="50">
        <v>95266242.86299248</v>
      </c>
    </row>
    <row r="495" spans="1:3">
      <c r="A495">
        <f t="shared" si="7"/>
        <v>494</v>
      </c>
      <c r="B495" s="50">
        <v>669096063.96714985</v>
      </c>
      <c r="C495" s="50">
        <v>95264226.672351882</v>
      </c>
    </row>
    <row r="496" spans="1:3">
      <c r="A496">
        <f t="shared" si="7"/>
        <v>495</v>
      </c>
      <c r="B496" s="50">
        <v>669095409.77335072</v>
      </c>
      <c r="C496" s="50">
        <v>95264133.529872462</v>
      </c>
    </row>
    <row r="497" spans="1:3">
      <c r="A497">
        <f t="shared" si="7"/>
        <v>496</v>
      </c>
      <c r="B497" s="50">
        <v>669053196.05003059</v>
      </c>
      <c r="C497" s="50">
        <v>95258123.245365322</v>
      </c>
    </row>
    <row r="498" spans="1:3">
      <c r="A498">
        <f t="shared" si="7"/>
        <v>497</v>
      </c>
      <c r="B498" s="50">
        <v>669104945.11883044</v>
      </c>
      <c r="C498" s="50">
        <v>95265491.148549512</v>
      </c>
    </row>
    <row r="499" spans="1:3">
      <c r="A499">
        <f t="shared" si="7"/>
        <v>498</v>
      </c>
      <c r="B499" s="50">
        <v>669105126.60968089</v>
      </c>
      <c r="C499" s="50">
        <v>95265516.988763571</v>
      </c>
    </row>
    <row r="500" spans="1:3">
      <c r="A500">
        <f t="shared" si="7"/>
        <v>499</v>
      </c>
      <c r="B500" s="50">
        <v>669089184.62022877</v>
      </c>
      <c r="C500" s="50">
        <v>95263247.208116874</v>
      </c>
    </row>
    <row r="501" spans="1:3">
      <c r="A501">
        <f t="shared" si="7"/>
        <v>500</v>
      </c>
      <c r="B501" s="50">
        <v>669087469.47165585</v>
      </c>
      <c r="C501" s="50">
        <v>95263003.00954625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ebc047-5e7b-4a1f-b995-488ce2c9ab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79E7ECF21C0E4B8E07639C4BF242C3" ma:contentTypeVersion="15" ma:contentTypeDescription="Create a new document." ma:contentTypeScope="" ma:versionID="32033f022483b509844059f3292ffc82">
  <xsd:schema xmlns:xsd="http://www.w3.org/2001/XMLSchema" xmlns:xs="http://www.w3.org/2001/XMLSchema" xmlns:p="http://schemas.microsoft.com/office/2006/metadata/properties" xmlns:ns3="77ebc047-5e7b-4a1f-b995-488ce2c9ab10" xmlns:ns4="72644889-00e1-4b88-90e6-2f3ddb201bee" targetNamespace="http://schemas.microsoft.com/office/2006/metadata/properties" ma:root="true" ma:fieldsID="8b592a3e176c42c26759e53b3f34bf1e" ns3:_="" ns4:_="">
    <xsd:import namespace="77ebc047-5e7b-4a1f-b995-488ce2c9ab10"/>
    <xsd:import namespace="72644889-00e1-4b88-90e6-2f3ddb201be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bc047-5e7b-4a1f-b995-488ce2c9ab1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44889-00e1-4b88-90e6-2f3ddb201be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2AEF8-D9EA-4699-B6B7-13ED8F33AC29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77ebc047-5e7b-4a1f-b995-488ce2c9ab10"/>
    <ds:schemaRef ds:uri="http://purl.org/dc/elements/1.1/"/>
    <ds:schemaRef ds:uri="72644889-00e1-4b88-90e6-2f3ddb201be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A92EABA-A2F5-493E-8F40-9F50D39C24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88A7BE-26D6-429C-A0EF-88710E2913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bc047-5e7b-4a1f-b995-488ce2c9ab10"/>
    <ds:schemaRef ds:uri="72644889-00e1-4b88-90e6-2f3ddb201b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Sensitivity_Analysis</vt:lpstr>
      <vt:lpstr>Stochastic</vt:lpstr>
      <vt:lpstr>Monte_Carlo_Simulation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Zihan Lin</dc:creator>
  <cp:keywords/>
  <dc:description/>
  <cp:lastModifiedBy>Tridib Banik</cp:lastModifiedBy>
  <cp:revision/>
  <dcterms:created xsi:type="dcterms:W3CDTF">2015-06-05T18:19:34Z</dcterms:created>
  <dcterms:modified xsi:type="dcterms:W3CDTF">2026-03-19T00:24:30Z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0x0101003F79E7ECF21C0E4B8E07639C4BF242C3</vt:lpwstr>
  </property>
</Properties>
</file>