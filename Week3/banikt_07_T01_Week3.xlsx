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A6CB8703-D204-48B6-9954-E9CA745A7356}" xr6:coauthVersionLast="47" xr6:coauthVersionMax="47" xr10:uidLastSave="{00000000-0000-0000-0000-000000000000}"/>
  <bookViews>
    <workbookView xWindow="-108" yWindow="-108" windowWidth="23256" windowHeight="12456" activeTab="1" xr2:uid="{E99E4954-1860-45AE-8C12-305EB8799F32}"/>
  </bookViews>
  <sheets>
    <sheet name="Design Parameters" sheetId="1" r:id="rId1"/>
    <sheet name="Costs and Benefits Estimation" sheetId="2" r:id="rId2"/>
    <sheet name="Cost and Benefits Cash Flow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7" i="4"/>
  <c r="F17" i="4"/>
  <c r="E17" i="4"/>
  <c r="D17" i="4"/>
  <c r="C17" i="4"/>
  <c r="F26" i="2"/>
  <c r="F31" i="2" s="1"/>
  <c r="F32" i="2" s="1"/>
  <c r="B32" i="2"/>
  <c r="C31" i="2" l="1"/>
  <c r="C32" i="2" s="1"/>
  <c r="D31" i="2"/>
  <c r="D32" i="2" s="1"/>
  <c r="E31" i="2"/>
  <c r="E32" i="2" s="1"/>
  <c r="H17" i="4"/>
</calcChain>
</file>

<file path=xl/sharedStrings.xml><?xml version="1.0" encoding="utf-8"?>
<sst xmlns="http://schemas.openxmlformats.org/spreadsheetml/2006/main" count="160" uniqueCount="128">
  <si>
    <t>Design Parameter</t>
  </si>
  <si>
    <t>Value</t>
  </si>
  <si>
    <t>Unit</t>
  </si>
  <si>
    <t>Calculations</t>
  </si>
  <si>
    <t>Design Parameter and Cost/Benefit Driver Mapping</t>
  </si>
  <si>
    <t>Cost Driver(s)</t>
  </si>
  <si>
    <t>Benefit Driver(s)</t>
  </si>
  <si>
    <t>Cost Estimation Table</t>
  </si>
  <si>
    <t>Cost Driver</t>
  </si>
  <si>
    <t>Cost Item</t>
  </si>
  <si>
    <t>Cost Type</t>
  </si>
  <si>
    <t>Direct / Indirect</t>
  </si>
  <si>
    <t>Estimation Method</t>
  </si>
  <si>
    <t>Estimated Value</t>
  </si>
  <si>
    <t>Benefits Estimation Table</t>
  </si>
  <si>
    <t>Benefit Driver</t>
  </si>
  <si>
    <t>Specific Benefit</t>
  </si>
  <si>
    <t>How it’s monetized (conversion method)</t>
  </si>
  <si>
    <t>Estimation</t>
  </si>
  <si>
    <t>Monetized Benefit</t>
  </si>
  <si>
    <t>Annual Cash Flow</t>
  </si>
  <si>
    <t>Category</t>
  </si>
  <si>
    <t>Year 1</t>
  </si>
  <si>
    <t>Year 2</t>
  </si>
  <si>
    <t>Year 3</t>
  </si>
  <si>
    <t>Year 4</t>
  </si>
  <si>
    <t>Year 5</t>
  </si>
  <si>
    <t>Capital Costs (CapEx)</t>
  </si>
  <si>
    <t>Operating Costs (OpEx)</t>
  </si>
  <si>
    <t>Benefits (Monetized)</t>
  </si>
  <si>
    <t>Net Cash Flow (Total)</t>
  </si>
  <si>
    <t>Year</t>
  </si>
  <si>
    <t>Item</t>
  </si>
  <si>
    <t>CapEx</t>
  </si>
  <si>
    <t>OpEx</t>
  </si>
  <si>
    <t>Benefits</t>
  </si>
  <si>
    <t>Total</t>
  </si>
  <si>
    <t>Net Cash Flow</t>
  </si>
  <si>
    <t>Permanent data storage</t>
  </si>
  <si>
    <t>CPU usage</t>
  </si>
  <si>
    <t>Video Retention Period for Critical Cameras</t>
  </si>
  <si>
    <t>Cloud latency</t>
  </si>
  <si>
    <t>seconds</t>
  </si>
  <si>
    <t>days</t>
  </si>
  <si>
    <t>CPU-hours/day</t>
  </si>
  <si>
    <t>Daily Energy Consumption</t>
  </si>
  <si>
    <t>kWh/day</t>
  </si>
  <si>
    <t>GB/day</t>
  </si>
  <si>
    <t>Storage costs</t>
  </si>
  <si>
    <t>Data availability</t>
  </si>
  <si>
    <t>Compute costs</t>
  </si>
  <si>
    <t>Processing speed</t>
  </si>
  <si>
    <t>Energy costs</t>
  </si>
  <si>
    <t>Operational efficiency</t>
  </si>
  <si>
    <t>Storage duration</t>
  </si>
  <si>
    <t>Security compliance</t>
  </si>
  <si>
    <t>Network performance</t>
  </si>
  <si>
    <t>User experience</t>
  </si>
  <si>
    <t>Variable</t>
  </si>
  <si>
    <t>Direct</t>
  </si>
  <si>
    <t>$4,900/year</t>
  </si>
  <si>
    <t>$1,200/year</t>
  </si>
  <si>
    <t>Network costs</t>
  </si>
  <si>
    <t>$2,500/year</t>
  </si>
  <si>
    <t>License fees</t>
  </si>
  <si>
    <t>Fixed</t>
  </si>
  <si>
    <t>$30,000/year</t>
  </si>
  <si>
    <t>Integration costs</t>
  </si>
  <si>
    <t>Initial integration (CapEx)</t>
  </si>
  <si>
    <t>Avoided breach cost</t>
  </si>
  <si>
    <t>$50,000/year</t>
  </si>
  <si>
    <t>Reduced downtime</t>
  </si>
  <si>
    <t>$60,000/year</t>
  </si>
  <si>
    <t>Labour savings from fewer false alarms</t>
  </si>
  <si>
    <t>$16,000/year</t>
  </si>
  <si>
    <t>Compliance and penalty avoidance</t>
  </si>
  <si>
    <t>Number of breaches avoided * cost per breach</t>
  </si>
  <si>
    <t>0.5 breaches/year * $100,000</t>
  </si>
  <si>
    <t>Hours of downtime avoided * cost per hour</t>
  </si>
  <si>
    <t>3 hours/year * $20,000</t>
  </si>
  <si>
    <t>Hours saved * hourly wage</t>
  </si>
  <si>
    <t>400 hours * $40</t>
  </si>
  <si>
    <t>Number of events avoided * penalty cost</t>
  </si>
  <si>
    <t>0.2 events/year * $250,000</t>
  </si>
  <si>
    <t>Clean Value</t>
  </si>
  <si>
    <t>Total benefits</t>
  </si>
  <si>
    <t>Initial Integration Cost</t>
  </si>
  <si>
    <t>Cloud Storage Fees</t>
  </si>
  <si>
    <t>SaaS Security License</t>
  </si>
  <si>
    <t>Network/API Usage</t>
  </si>
  <si>
    <t>Cloud Compute Cost</t>
  </si>
  <si>
    <t>Median of 250–300 GB/day is 275 GB/day</t>
  </si>
  <si>
    <t>Median of 120–150 CPU-hours/day is 135 CPU-hours/day</t>
  </si>
  <si>
    <t>Median of 25-30 kWh = 27.5 kWh. 27.5 kW * 24 hours = 660 kWh/day</t>
  </si>
  <si>
    <t>Median of 60-90 days = 75 days</t>
  </si>
  <si>
    <t>Median of 1-2 seconds = 1.5 seconds</t>
  </si>
  <si>
    <t>Increased staff productivity</t>
  </si>
  <si>
    <t>Time saved from faster access * hourly wage</t>
  </si>
  <si>
    <t>200 hours/year * $40</t>
  </si>
  <si>
    <t>$8,000/year</t>
  </si>
  <si>
    <t>Total OpEx</t>
  </si>
  <si>
    <t>$3,211/year</t>
  </si>
  <si>
    <t>Electricity cost by  software subsystem alone</t>
  </si>
  <si>
    <t>Cloud storage fees (OpEx)</t>
  </si>
  <si>
    <t>Cloud compute cost (OpEx)</t>
  </si>
  <si>
    <t>Electricity cost by  software subsystem alone (OpEx)</t>
  </si>
  <si>
    <t>Data transfer and API usage (OpEx)</t>
  </si>
  <si>
    <t>SaaS security platform license (OpEx)</t>
  </si>
  <si>
    <t>References</t>
  </si>
  <si>
    <r>
      <rPr>
        <sz val="11"/>
        <color theme="1"/>
        <rFont val="Aptos Narrow"/>
        <family val="2"/>
        <scheme val="minor"/>
      </rPr>
      <t>Public cloud pricing benchmarks (AWS, Azure, GCP):</t>
    </r>
    <r>
      <rPr>
        <u/>
        <sz val="11"/>
        <color theme="10"/>
        <rFont val="Aptos Narrow"/>
        <family val="2"/>
        <scheme val="minor"/>
      </rPr>
      <t xml:space="preserve"> https://cast.ai/blog/cloud-pricing-comparison/</t>
    </r>
  </si>
  <si>
    <r>
      <rPr>
        <sz val="11"/>
        <color theme="1"/>
        <rFont val="Aptos Narrow"/>
        <family val="2"/>
        <scheme val="minor"/>
      </rPr>
      <t xml:space="preserve">Cloud efficiency rate: </t>
    </r>
    <r>
      <rPr>
        <u/>
        <sz val="11"/>
        <color theme="10"/>
        <rFont val="Aptos Narrow"/>
        <family val="2"/>
        <scheme val="minor"/>
      </rPr>
      <t>https://www.cloudzero.com/cloud-cost-benchmarking-tool/</t>
    </r>
  </si>
  <si>
    <r>
      <rPr>
        <sz val="11"/>
        <color theme="1"/>
        <rFont val="Aptos Narrow"/>
        <family val="2"/>
        <scheme val="minor"/>
      </rPr>
      <t xml:space="preserve">Electricity price calculation: </t>
    </r>
    <r>
      <rPr>
        <u/>
        <sz val="11"/>
        <color theme="10"/>
        <rFont val="Aptos Narrow"/>
        <family val="2"/>
        <scheme val="minor"/>
      </rPr>
      <t>https://www.ckw.ch/energie/strom/stromprodukte</t>
    </r>
  </si>
  <si>
    <r>
      <rPr>
        <sz val="11"/>
        <color theme="1"/>
        <rFont val="Aptos Narrow"/>
        <family val="2"/>
        <scheme val="minor"/>
      </rPr>
      <t xml:space="preserve">Breakdown of API Management Cost: </t>
    </r>
    <r>
      <rPr>
        <u/>
        <sz val="11"/>
        <color theme="10"/>
        <rFont val="Aptos Narrow"/>
        <family val="2"/>
        <scheme val="minor"/>
      </rPr>
      <t>https://www.digitalapi.ai/blogs/api-management-cost</t>
    </r>
  </si>
  <si>
    <r>
      <rPr>
        <sz val="11"/>
        <color theme="1"/>
        <rFont val="Aptos Narrow"/>
        <family val="2"/>
        <scheme val="minor"/>
      </rPr>
      <t xml:space="preserve">SaaS Management pricing for Audit &amp; Compliance Support: </t>
    </r>
    <r>
      <rPr>
        <u/>
        <sz val="11"/>
        <color theme="10"/>
        <rFont val="Aptos Narrow"/>
        <family val="2"/>
        <scheme val="minor"/>
      </rPr>
      <t>https://www.cloudeagle.ai/blogs/top-10-saas-license-tracking-tools-for-2025#:~:text=Effective%20saas%20license%20management%20requires,to%20maintain%20compliance%20and%20accountability</t>
    </r>
  </si>
  <si>
    <r>
      <rPr>
        <sz val="11"/>
        <color theme="1"/>
        <rFont val="Aptos Narrow"/>
        <family val="2"/>
        <scheme val="minor"/>
      </rPr>
      <t xml:space="preserve">Warehouse Management System software cost: </t>
    </r>
    <r>
      <rPr>
        <u/>
        <sz val="11"/>
        <color theme="10"/>
        <rFont val="Aptos Narrow"/>
        <family val="2"/>
        <scheme val="minor"/>
      </rPr>
      <t>https://www.explorewms.com/how-much-wms-software-costs-and-how-to-set-your-budget.html#:~:text=Entry%2Dlevel%20perpetual%20license%20WMS,the%20license%20cost%20per%20year.</t>
    </r>
  </si>
  <si>
    <r>
      <rPr>
        <sz val="11"/>
        <color theme="1"/>
        <rFont val="Aptos Narrow"/>
        <family val="2"/>
        <scheme val="minor"/>
      </rPr>
      <t xml:space="preserve">Cost of a Data Breach Report 2025 The AI Oversight Gap: </t>
    </r>
    <r>
      <rPr>
        <u/>
        <sz val="11"/>
        <color theme="10"/>
        <rFont val="Aptos Narrow"/>
        <family val="2"/>
        <scheme val="minor"/>
      </rPr>
      <t>https://www.bakerdonelson.com/webfiles/Publications/20250822_Cost-of-a-Data-Breach-Report-2025.pdf</t>
    </r>
  </si>
  <si>
    <r>
      <rPr>
        <sz val="11"/>
        <color theme="1"/>
        <rFont val="Aptos Narrow"/>
        <family val="2"/>
        <scheme val="minor"/>
      </rPr>
      <t>Uptime Institute downtime cost benchmarks:</t>
    </r>
    <r>
      <rPr>
        <u/>
        <sz val="11"/>
        <color theme="10"/>
        <rFont val="Aptos Narrow"/>
        <family val="2"/>
        <scheme val="minor"/>
      </rPr>
      <t xml:space="preserve"> https://uptimeinstitute.com/about-ui/press-releases/2022-outage-analysis-finds-downtime-costs-and-consequences-worsening</t>
    </r>
  </si>
  <si>
    <r>
      <rPr>
        <sz val="11"/>
        <color theme="1"/>
        <rFont val="Aptos Narrow"/>
        <family val="2"/>
        <scheme val="minor"/>
      </rPr>
      <t xml:space="preserve">Cost of false alarms: </t>
    </r>
    <r>
      <rPr>
        <u/>
        <sz val="11"/>
        <color theme="10"/>
        <rFont val="Aptos Narrow"/>
        <family val="2"/>
        <scheme val="minor"/>
      </rPr>
      <t>https://www.arcadian.ai/blogs/blogs/the-true-cost-of-false-alarms-how-ai-stops-alert-fatigue-in-retail#:~:text=Ranger%20reduced%20false%20alerts%20by,police%20fines%20in%203%20months</t>
    </r>
  </si>
  <si>
    <r>
      <rPr>
        <sz val="11"/>
        <color theme="1"/>
        <rFont val="Aptos Narrow"/>
        <family val="2"/>
        <scheme val="minor"/>
      </rPr>
      <t xml:space="preserve">Industry compliance penalty guidelines: </t>
    </r>
    <r>
      <rPr>
        <u/>
        <sz val="11"/>
        <color theme="10"/>
        <rFont val="Aptos Narrow"/>
        <family val="2"/>
        <scheme val="minor"/>
      </rPr>
      <t>https://www.ontario.ca/page/guideline-implementing-environmental-penalties-ontario-regulations-22207-and-22307</t>
    </r>
  </si>
  <si>
    <r>
      <rPr>
        <sz val="11"/>
        <color theme="1"/>
        <rFont val="Aptos Narrow"/>
        <family val="2"/>
        <scheme val="minor"/>
      </rPr>
      <t xml:space="preserve">Staff productivity benefits for using more timely applications: </t>
    </r>
    <r>
      <rPr>
        <u/>
        <sz val="11"/>
        <color theme="10"/>
        <rFont val="Aptos Narrow"/>
        <family val="2"/>
        <scheme val="minor"/>
      </rPr>
      <t>https://pages.awscloud.com/rs/112-TZM-766/images/GEN_windows-on-aws-it-infrastructure-idc-mini-report_Sep-2019.pdf#:~:text=IDC's%20research%20demonstrates%20that%2C%20by%20moving%20Windows,per%20100%20users%20($3.46%20million%20per%20organization).</t>
    </r>
  </si>
  <si>
    <t>Serial number of this reference in Word doc</t>
  </si>
  <si>
    <t>Total CapEx</t>
  </si>
  <si>
    <t>Parametric: Based on GB/day and price per GB (GB per day * number of days per year * cost per GB in dollars)</t>
  </si>
  <si>
    <t>Parametric: Based on CPU-hours/day and price (CPU-hours/day * number of days per year * cost per CPU-hours in dollars)</t>
  </si>
  <si>
    <t>Parametric: Based on kWh/day and price (kWh/day * number of days per year * cost per kWh in dollars)</t>
  </si>
  <si>
    <t>Parametric: Estimated monthly data transfer (monthly cost of mid-size facility data transfer and API usage in dollars per month * number of months per year)</t>
  </si>
  <si>
    <t>Analogous: Benchmark for mid-size facility (cost of licence fee for mid-size facility per month * number of months per year)</t>
  </si>
  <si>
    <t>Bottom-up: One-time professional services (One-time integration cost paid to the professionals; i.e., designers, developers,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</si>
</sst>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3" formatCode="_-* #,##0.00_-;\-* #,##0.00_-;_-* &quot;-&quot;??_-;_-@_-"/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6" fillId="0" borderId="0" xfId="0" applyFont="1"/>
    <xf numFmtId="0" fontId="8" fillId="0" borderId="1" xfId="0" applyFont="1" applyBorder="1"/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3" borderId="4" xfId="0" applyFont="1" applyFill="1" applyBorder="1" applyAlignment="1">
      <alignment horizontal="justify" vertical="center" wrapText="1"/>
    </xf>
    <xf numFmtId="6" fontId="0" fillId="0" borderId="1" xfId="0" applyNumberFormat="1" applyBorder="1" applyAlignment="1">
      <alignment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0" fillId="0" borderId="0" xfId="0" applyNumberFormat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0" fontId="9" fillId="0" borderId="1" xfId="0" applyFont="1" applyBorder="1"/>
    <xf numFmtId="6" fontId="0" fillId="0" borderId="1" xfId="0" applyNumberFormat="1" applyBorder="1" applyAlignment="1">
      <alignment horizontal="left" vertical="center" wrapText="1"/>
    </xf>
    <xf numFmtId="8" fontId="0" fillId="0" borderId="1" xfId="0" applyNumberFormat="1" applyBorder="1"/>
    <xf numFmtId="0" fontId="0" fillId="0" borderId="5" xfId="0" applyBorder="1" applyAlignment="1">
      <alignment vertical="center" wrapText="1"/>
    </xf>
    <xf numFmtId="164" fontId="0" fillId="0" borderId="5" xfId="0" applyNumberFormat="1" applyBorder="1"/>
    <xf numFmtId="0" fontId="10" fillId="0" borderId="1" xfId="2" applyBorder="1"/>
    <xf numFmtId="0" fontId="10" fillId="0" borderId="1" xfId="2" applyFill="1" applyBorder="1" applyAlignment="1">
      <alignment vertical="center" wrapText="1"/>
    </xf>
    <xf numFmtId="164" fontId="0" fillId="0" borderId="5" xfId="1" applyNumberFormat="1" applyFont="1" applyBorder="1"/>
    <xf numFmtId="0" fontId="10" fillId="0" borderId="1" xfId="2" applyBorder="1" applyAlignment="1">
      <alignment horizontal="left" vertical="center" indent="1"/>
    </xf>
    <xf numFmtId="0" fontId="6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cadian.ai/blogs/blogs/the-true-cost-of-false-alarms-how-ai-stops-alert-fatigue-in-retail" TargetMode="External"/><Relationship Id="rId3" Type="http://schemas.openxmlformats.org/officeDocument/2006/relationships/hyperlink" Target="https://www.digitalapi.ai/blogs/api-management-cost" TargetMode="External"/><Relationship Id="rId7" Type="http://schemas.openxmlformats.org/officeDocument/2006/relationships/hyperlink" Target="https://uptimeinstitute.com/about-ui/press-releases/2022-outage-analysis-finds-downtime-costs-and-consequences-worsening" TargetMode="External"/><Relationship Id="rId2" Type="http://schemas.openxmlformats.org/officeDocument/2006/relationships/hyperlink" Target="https://www.cloudzero.com/cloud-cost-benchmarking-tool/" TargetMode="External"/><Relationship Id="rId1" Type="http://schemas.openxmlformats.org/officeDocument/2006/relationships/hyperlink" Target="https://cast.ai/blog/cloud-pricing-comparison/" TargetMode="External"/><Relationship Id="rId6" Type="http://schemas.openxmlformats.org/officeDocument/2006/relationships/hyperlink" Target="https://www.bakerdonelson.com/webfiles/Publications/20250822_Cost-of-a-Data-Breach-Report-2025.pdf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xplorewms.com/how-much-wms-software-costs-and-how-to-set-your-budget.html" TargetMode="External"/><Relationship Id="rId10" Type="http://schemas.openxmlformats.org/officeDocument/2006/relationships/hyperlink" Target="https://pages.awscloud.com/rs/112-TZM-766/images/GEN_windows-on-aws-it-infrastructure-idc-mini-report_Sep-2019.pdf" TargetMode="External"/><Relationship Id="rId4" Type="http://schemas.openxmlformats.org/officeDocument/2006/relationships/hyperlink" Target="https://www.cloudeagle.ai/blogs/top-10-saas-license-tracking-tools-for-2025" TargetMode="External"/><Relationship Id="rId9" Type="http://schemas.openxmlformats.org/officeDocument/2006/relationships/hyperlink" Target="https://www.ontario.ca/page/guideline-implementing-environmental-penalties-ontario-regulations-22207-and-223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89B8-ECE4-497F-8805-EE843CFD2CFA}">
  <dimension ref="A1:D6"/>
  <sheetViews>
    <sheetView workbookViewId="0">
      <selection activeCell="B16" sqref="B16"/>
    </sheetView>
  </sheetViews>
  <sheetFormatPr defaultRowHeight="14.4" x14ac:dyDescent="0.3"/>
  <cols>
    <col min="1" max="1" width="52.6640625" bestFit="1" customWidth="1"/>
    <col min="3" max="3" width="13.33203125" bestFit="1" customWidth="1"/>
    <col min="4" max="4" width="55.8867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4" t="s">
        <v>38</v>
      </c>
      <c r="B2" s="2">
        <v>275</v>
      </c>
      <c r="C2" s="3" t="s">
        <v>47</v>
      </c>
      <c r="D2" s="29" t="s">
        <v>91</v>
      </c>
    </row>
    <row r="3" spans="1:4" x14ac:dyDescent="0.3">
      <c r="A3" s="14" t="s">
        <v>39</v>
      </c>
      <c r="B3" s="2">
        <v>135</v>
      </c>
      <c r="C3" s="2" t="s">
        <v>44</v>
      </c>
      <c r="D3" s="29" t="s">
        <v>92</v>
      </c>
    </row>
    <row r="4" spans="1:4" x14ac:dyDescent="0.3">
      <c r="A4" s="14" t="s">
        <v>45</v>
      </c>
      <c r="B4" s="2">
        <v>660</v>
      </c>
      <c r="C4" s="2" t="s">
        <v>46</v>
      </c>
      <c r="D4" s="2" t="s">
        <v>93</v>
      </c>
    </row>
    <row r="5" spans="1:4" x14ac:dyDescent="0.3">
      <c r="A5" s="14" t="s">
        <v>40</v>
      </c>
      <c r="B5" s="2">
        <v>75</v>
      </c>
      <c r="C5" s="2" t="s">
        <v>43</v>
      </c>
      <c r="D5" s="2" t="s">
        <v>94</v>
      </c>
    </row>
    <row r="6" spans="1:4" x14ac:dyDescent="0.3">
      <c r="A6" s="14" t="s">
        <v>41</v>
      </c>
      <c r="B6" s="2">
        <v>1.5</v>
      </c>
      <c r="C6" s="2" t="s">
        <v>42</v>
      </c>
      <c r="D6" s="2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8C1-06DA-4FD0-A30A-99C95DAA62CB}">
  <dimension ref="A1:I32"/>
  <sheetViews>
    <sheetView tabSelected="1" zoomScale="91" workbookViewId="0">
      <selection activeCell="C32" sqref="C32"/>
    </sheetView>
  </sheetViews>
  <sheetFormatPr defaultRowHeight="14.4" x14ac:dyDescent="0.3"/>
  <cols>
    <col min="1" max="1" width="42.109375" bestFit="1" customWidth="1"/>
    <col min="2" max="2" width="36.77734375" bestFit="1" customWidth="1"/>
    <col min="3" max="3" width="38.77734375" bestFit="1" customWidth="1"/>
    <col min="4" max="4" width="25.109375" bestFit="1" customWidth="1"/>
    <col min="5" max="5" width="28.5546875" bestFit="1" customWidth="1"/>
    <col min="6" max="6" width="13.109375" bestFit="1" customWidth="1"/>
    <col min="7" max="7" width="10.109375" bestFit="1" customWidth="1"/>
    <col min="8" max="8" width="255.6640625" customWidth="1"/>
    <col min="9" max="9" width="34.6640625" customWidth="1"/>
  </cols>
  <sheetData>
    <row r="1" spans="1:9" ht="15" thickBot="1" x14ac:dyDescent="0.35">
      <c r="A1" t="s">
        <v>4</v>
      </c>
    </row>
    <row r="2" spans="1:9" x14ac:dyDescent="0.3">
      <c r="A2" s="15" t="s">
        <v>0</v>
      </c>
      <c r="B2" s="16" t="s">
        <v>5</v>
      </c>
      <c r="C2" s="16" t="s">
        <v>6</v>
      </c>
    </row>
    <row r="3" spans="1:9" x14ac:dyDescent="0.3">
      <c r="A3" s="18" t="s">
        <v>38</v>
      </c>
      <c r="B3" s="17" t="s">
        <v>48</v>
      </c>
      <c r="C3" s="17" t="s">
        <v>49</v>
      </c>
    </row>
    <row r="4" spans="1:9" x14ac:dyDescent="0.3">
      <c r="A4" s="18" t="s">
        <v>39</v>
      </c>
      <c r="B4" s="17" t="s">
        <v>50</v>
      </c>
      <c r="C4" s="17" t="s">
        <v>51</v>
      </c>
    </row>
    <row r="5" spans="1:9" x14ac:dyDescent="0.3">
      <c r="A5" s="18" t="s">
        <v>45</v>
      </c>
      <c r="B5" s="17" t="s">
        <v>52</v>
      </c>
      <c r="C5" s="17" t="s">
        <v>53</v>
      </c>
    </row>
    <row r="6" spans="1:9" x14ac:dyDescent="0.3">
      <c r="A6" s="18" t="s">
        <v>40</v>
      </c>
      <c r="B6" s="17" t="s">
        <v>54</v>
      </c>
      <c r="C6" s="17" t="s">
        <v>55</v>
      </c>
    </row>
    <row r="7" spans="1:9" x14ac:dyDescent="0.3">
      <c r="A7" s="18" t="s">
        <v>41</v>
      </c>
      <c r="B7" s="17" t="s">
        <v>56</v>
      </c>
      <c r="C7" s="17" t="s">
        <v>57</v>
      </c>
    </row>
    <row r="9" spans="1:9" x14ac:dyDescent="0.3">
      <c r="A9" s="4" t="s">
        <v>7</v>
      </c>
    </row>
    <row r="10" spans="1:9" ht="27.6" x14ac:dyDescent="0.3">
      <c r="A10" s="21" t="s">
        <v>8</v>
      </c>
      <c r="B10" s="21" t="s">
        <v>9</v>
      </c>
      <c r="C10" s="21" t="s">
        <v>10</v>
      </c>
      <c r="D10" s="21" t="s">
        <v>11</v>
      </c>
      <c r="E10" s="21" t="s">
        <v>12</v>
      </c>
      <c r="F10" s="21" t="s">
        <v>13</v>
      </c>
      <c r="G10" s="21" t="s">
        <v>84</v>
      </c>
      <c r="H10" s="21" t="s">
        <v>108</v>
      </c>
      <c r="I10" s="21" t="s">
        <v>120</v>
      </c>
    </row>
    <row r="11" spans="1:9" ht="57.6" x14ac:dyDescent="0.3">
      <c r="A11" s="17" t="s">
        <v>48</v>
      </c>
      <c r="B11" s="17" t="s">
        <v>103</v>
      </c>
      <c r="C11" s="17" t="s">
        <v>58</v>
      </c>
      <c r="D11" s="17" t="s">
        <v>59</v>
      </c>
      <c r="E11" s="17" t="s">
        <v>122</v>
      </c>
      <c r="F11" s="17" t="s">
        <v>101</v>
      </c>
      <c r="G11" s="27">
        <v>3211</v>
      </c>
      <c r="H11" s="34" t="s">
        <v>109</v>
      </c>
      <c r="I11" s="2">
        <v>1</v>
      </c>
    </row>
    <row r="12" spans="1:9" ht="72" x14ac:dyDescent="0.3">
      <c r="A12" s="17" t="s">
        <v>50</v>
      </c>
      <c r="B12" s="17" t="s">
        <v>104</v>
      </c>
      <c r="C12" s="17" t="s">
        <v>58</v>
      </c>
      <c r="D12" s="17" t="s">
        <v>59</v>
      </c>
      <c r="E12" s="17" t="s">
        <v>123</v>
      </c>
      <c r="F12" s="17" t="s">
        <v>60</v>
      </c>
      <c r="G12" s="27">
        <v>4900</v>
      </c>
      <c r="H12" s="35" t="s">
        <v>110</v>
      </c>
      <c r="I12" s="2">
        <v>2</v>
      </c>
    </row>
    <row r="13" spans="1:9" ht="57.6" x14ac:dyDescent="0.3">
      <c r="A13" s="17" t="s">
        <v>52</v>
      </c>
      <c r="B13" s="17" t="s">
        <v>105</v>
      </c>
      <c r="C13" s="17" t="s">
        <v>58</v>
      </c>
      <c r="D13" s="17" t="s">
        <v>59</v>
      </c>
      <c r="E13" s="17" t="s">
        <v>124</v>
      </c>
      <c r="F13" s="17" t="s">
        <v>61</v>
      </c>
      <c r="G13" s="27">
        <v>1200</v>
      </c>
      <c r="H13" s="34" t="s">
        <v>111</v>
      </c>
      <c r="I13" s="2">
        <v>3</v>
      </c>
    </row>
    <row r="14" spans="1:9" ht="72" x14ac:dyDescent="0.3">
      <c r="A14" s="17" t="s">
        <v>62</v>
      </c>
      <c r="B14" s="17" t="s">
        <v>106</v>
      </c>
      <c r="C14" s="17" t="s">
        <v>58</v>
      </c>
      <c r="D14" s="17" t="s">
        <v>59</v>
      </c>
      <c r="E14" s="17" t="s">
        <v>125</v>
      </c>
      <c r="F14" s="17" t="s">
        <v>63</v>
      </c>
      <c r="G14" s="27">
        <v>2500</v>
      </c>
      <c r="H14" s="34" t="s">
        <v>112</v>
      </c>
      <c r="I14" s="2">
        <v>4</v>
      </c>
    </row>
    <row r="15" spans="1:9" ht="57.6" x14ac:dyDescent="0.3">
      <c r="A15" s="17" t="s">
        <v>64</v>
      </c>
      <c r="B15" s="17" t="s">
        <v>107</v>
      </c>
      <c r="C15" s="17" t="s">
        <v>65</v>
      </c>
      <c r="D15" s="17" t="s">
        <v>59</v>
      </c>
      <c r="E15" s="17" t="s">
        <v>126</v>
      </c>
      <c r="F15" s="17" t="s">
        <v>66</v>
      </c>
      <c r="G15" s="27">
        <v>30000</v>
      </c>
      <c r="H15" s="35" t="s">
        <v>113</v>
      </c>
      <c r="I15" s="2">
        <v>5</v>
      </c>
    </row>
    <row r="16" spans="1:9" ht="57.6" x14ac:dyDescent="0.3">
      <c r="A16" s="17" t="s">
        <v>67</v>
      </c>
      <c r="B16" s="17" t="s">
        <v>68</v>
      </c>
      <c r="C16" s="17" t="s">
        <v>65</v>
      </c>
      <c r="D16" s="17" t="s">
        <v>59</v>
      </c>
      <c r="E16" s="17" t="s">
        <v>127</v>
      </c>
      <c r="F16" s="30">
        <v>25000</v>
      </c>
      <c r="G16" s="27">
        <v>25000</v>
      </c>
      <c r="H16" s="34" t="s">
        <v>114</v>
      </c>
      <c r="I16" s="2">
        <v>6</v>
      </c>
    </row>
    <row r="17" spans="1:9" x14ac:dyDescent="0.3">
      <c r="F17" s="32" t="s">
        <v>100</v>
      </c>
      <c r="G17" s="33">
        <f>SUM(G11:G15)</f>
        <v>41811</v>
      </c>
    </row>
    <row r="18" spans="1:9" x14ac:dyDescent="0.3">
      <c r="F18" s="17" t="s">
        <v>121</v>
      </c>
      <c r="G18" s="27">
        <v>25000</v>
      </c>
    </row>
    <row r="19" spans="1:9" x14ac:dyDescent="0.3">
      <c r="A19" t="s">
        <v>14</v>
      </c>
    </row>
    <row r="20" spans="1:9" ht="27.6" x14ac:dyDescent="0.3">
      <c r="A20" s="22" t="s">
        <v>15</v>
      </c>
      <c r="B20" s="22" t="s">
        <v>16</v>
      </c>
      <c r="C20" s="22" t="s">
        <v>17</v>
      </c>
      <c r="D20" s="22" t="s">
        <v>18</v>
      </c>
      <c r="E20" s="22" t="s">
        <v>19</v>
      </c>
      <c r="F20" s="22" t="s">
        <v>84</v>
      </c>
      <c r="G20" s="2"/>
      <c r="H20" s="22" t="s">
        <v>108</v>
      </c>
      <c r="I20" s="21" t="s">
        <v>120</v>
      </c>
    </row>
    <row r="21" spans="1:9" x14ac:dyDescent="0.3">
      <c r="A21" s="17" t="s">
        <v>49</v>
      </c>
      <c r="B21" s="17" t="s">
        <v>69</v>
      </c>
      <c r="C21" s="17" t="s">
        <v>76</v>
      </c>
      <c r="D21" s="17" t="s">
        <v>77</v>
      </c>
      <c r="E21" s="17" t="s">
        <v>70</v>
      </c>
      <c r="F21" s="28">
        <v>50000</v>
      </c>
      <c r="G21" s="2"/>
      <c r="H21" s="37" t="s">
        <v>115</v>
      </c>
      <c r="I21" s="2">
        <v>7</v>
      </c>
    </row>
    <row r="22" spans="1:9" x14ac:dyDescent="0.3">
      <c r="A22" s="17" t="s">
        <v>51</v>
      </c>
      <c r="B22" s="17" t="s">
        <v>71</v>
      </c>
      <c r="C22" s="17" t="s">
        <v>78</v>
      </c>
      <c r="D22" s="17" t="s">
        <v>79</v>
      </c>
      <c r="E22" s="17" t="s">
        <v>72</v>
      </c>
      <c r="F22" s="28">
        <v>60000</v>
      </c>
      <c r="G22" s="2"/>
      <c r="H22" s="34" t="s">
        <v>116</v>
      </c>
      <c r="I22" s="2">
        <v>8</v>
      </c>
    </row>
    <row r="23" spans="1:9" x14ac:dyDescent="0.3">
      <c r="A23" s="17" t="s">
        <v>53</v>
      </c>
      <c r="B23" s="17" t="s">
        <v>73</v>
      </c>
      <c r="C23" s="17" t="s">
        <v>80</v>
      </c>
      <c r="D23" s="17" t="s">
        <v>81</v>
      </c>
      <c r="E23" s="17" t="s">
        <v>74</v>
      </c>
      <c r="F23" s="28">
        <v>16000</v>
      </c>
      <c r="G23" s="2"/>
      <c r="H23" s="35" t="s">
        <v>117</v>
      </c>
      <c r="I23" s="2">
        <v>9</v>
      </c>
    </row>
    <row r="24" spans="1:9" x14ac:dyDescent="0.3">
      <c r="A24" s="17" t="s">
        <v>55</v>
      </c>
      <c r="B24" s="17" t="s">
        <v>75</v>
      </c>
      <c r="C24" s="17" t="s">
        <v>82</v>
      </c>
      <c r="D24" s="17" t="s">
        <v>83</v>
      </c>
      <c r="E24" s="17" t="s">
        <v>70</v>
      </c>
      <c r="F24" s="28">
        <v>50000</v>
      </c>
      <c r="G24" s="2"/>
      <c r="H24" s="35" t="s">
        <v>118</v>
      </c>
      <c r="I24" s="2">
        <v>10</v>
      </c>
    </row>
    <row r="25" spans="1:9" x14ac:dyDescent="0.3">
      <c r="A25" s="2" t="s">
        <v>57</v>
      </c>
      <c r="B25" s="2" t="s">
        <v>96</v>
      </c>
      <c r="C25" s="2" t="s">
        <v>97</v>
      </c>
      <c r="D25" s="2" t="s">
        <v>98</v>
      </c>
      <c r="E25" s="2" t="s">
        <v>99</v>
      </c>
      <c r="F25" s="31">
        <v>8000</v>
      </c>
      <c r="G25" s="2"/>
      <c r="H25" s="34" t="s">
        <v>119</v>
      </c>
      <c r="I25" s="2">
        <v>11</v>
      </c>
    </row>
    <row r="26" spans="1:9" x14ac:dyDescent="0.3">
      <c r="E26" s="32" t="s">
        <v>85</v>
      </c>
      <c r="F26" s="36">
        <f>SUM(F21:F25)</f>
        <v>184000</v>
      </c>
    </row>
    <row r="27" spans="1:9" ht="15" thickBot="1" x14ac:dyDescent="0.35">
      <c r="A27" s="5" t="s">
        <v>20</v>
      </c>
    </row>
    <row r="28" spans="1:9" ht="15.6" x14ac:dyDescent="0.3">
      <c r="A28" s="19" t="s">
        <v>21</v>
      </c>
      <c r="B28" s="19" t="s">
        <v>22</v>
      </c>
      <c r="C28" s="19" t="s">
        <v>23</v>
      </c>
      <c r="D28" s="19" t="s">
        <v>24</v>
      </c>
      <c r="E28" s="19" t="s">
        <v>25</v>
      </c>
      <c r="F28" s="19" t="s">
        <v>26</v>
      </c>
    </row>
    <row r="29" spans="1:9" x14ac:dyDescent="0.3">
      <c r="A29" s="17" t="s">
        <v>27</v>
      </c>
      <c r="B29" s="20">
        <v>-25000</v>
      </c>
      <c r="C29" s="20">
        <v>0</v>
      </c>
      <c r="D29" s="20">
        <v>0</v>
      </c>
      <c r="E29" s="20">
        <v>0</v>
      </c>
      <c r="F29" s="20">
        <v>0</v>
      </c>
    </row>
    <row r="30" spans="1:9" x14ac:dyDescent="0.3">
      <c r="A30" s="17" t="s">
        <v>28</v>
      </c>
      <c r="B30" s="20">
        <v>-41811</v>
      </c>
      <c r="C30" s="20">
        <v>-41811</v>
      </c>
      <c r="D30" s="20">
        <v>-41811</v>
      </c>
      <c r="E30" s="20">
        <v>-41811</v>
      </c>
      <c r="F30" s="20">
        <v>-41811</v>
      </c>
    </row>
    <row r="31" spans="1:9" x14ac:dyDescent="0.3">
      <c r="A31" s="17" t="s">
        <v>29</v>
      </c>
      <c r="B31" s="20">
        <v>0</v>
      </c>
      <c r="C31" s="20">
        <f>F26</f>
        <v>184000</v>
      </c>
      <c r="D31" s="20">
        <f>F26</f>
        <v>184000</v>
      </c>
      <c r="E31" s="20">
        <f>F26</f>
        <v>184000</v>
      </c>
      <c r="F31" s="20">
        <f>F26</f>
        <v>184000</v>
      </c>
    </row>
    <row r="32" spans="1:9" x14ac:dyDescent="0.3">
      <c r="A32" s="17" t="s">
        <v>30</v>
      </c>
      <c r="B32" s="20">
        <f>SUM(B29:B31)</f>
        <v>-66811</v>
      </c>
      <c r="C32" s="20">
        <f>SUM(C29:C31)</f>
        <v>142189</v>
      </c>
      <c r="D32" s="20">
        <f>SUM(D29:D31)</f>
        <v>142189</v>
      </c>
      <c r="E32" s="20">
        <f>SUM(E29:E31)</f>
        <v>142189</v>
      </c>
      <c r="F32" s="20">
        <f>SUM(F29:F31)</f>
        <v>142189</v>
      </c>
    </row>
  </sheetData>
  <hyperlinks>
    <hyperlink ref="H11" r:id="rId1" display="https://cast.ai/blog/cloud-pricing-comparison/" xr:uid="{F515D88C-01D2-4E96-B9D3-3F9BDBDFB5A6}"/>
    <hyperlink ref="H12" r:id="rId2" display="https://www.cloudzero.com/cloud-cost-benchmarking-tool/" xr:uid="{F5323164-3FB7-4470-A2BB-56AE65379166}"/>
    <hyperlink ref="H14" r:id="rId3" display="https://www.digitalapi.ai/blogs/api-management-cost" xr:uid="{A142AF86-4561-4FF2-BD69-C0C8058041AD}"/>
    <hyperlink ref="H15" r:id="rId4" location=":~:text=Effective%20saas%20license%20management%20requires,to%20maintain%20compliance%20and%20accountability" display="https://www.cloudeagle.ai/blogs/top-10-saas-license-tracking-tools-for-2025#:~:text=Effective%20saas%20license%20management%20requires,to%20maintain%20compliance%20and%20accountability" xr:uid="{8DE8CBBE-92F7-45E7-BAC9-D2407A02AE20}"/>
    <hyperlink ref="H16" r:id="rId5" location=":~:text=Entry%2Dlevel%20perpetual%20license%20WMS,the%20license%20cost%20per%20year." display="https://www.explorewms.com/how-much-wms-software-costs-and-how-to-set-your-budget.html#:~:text=Entry%2Dlevel%20perpetual%20license%20WMS,the%20license%20cost%20per%20year." xr:uid="{877FA9CA-D2B6-4DDB-A12E-BBCA552BB7A9}"/>
    <hyperlink ref="H21" r:id="rId6" display="https://www.bakerdonelson.com/webfiles/Publications/20250822_Cost-of-a-Data-Breach-Report-2025.pdf" xr:uid="{CB2C330C-CEC7-4984-8B12-0C98770C57A6}"/>
    <hyperlink ref="H22" r:id="rId7" display="https://uptimeinstitute.com/about-ui/press-releases/2022-outage-analysis-finds-downtime-costs-and-consequences-worsening" xr:uid="{782B9E8D-6272-4215-B410-F6218C4A4264}"/>
    <hyperlink ref="H23" r:id="rId8" location=":~:text=Ranger%20reduced%20false%20alerts%20by,police%20fines%20in%203%20months" display="https://www.arcadian.ai/blogs/blogs/the-true-cost-of-false-alarms-how-ai-stops-alert-fatigue-in-retail#:~:text=Ranger%20reduced%20false%20alerts%20by,police%20fines%20in%203%20months" xr:uid="{39F0D471-767E-45C7-AE75-712720C92653}"/>
    <hyperlink ref="H24" r:id="rId9" display="https://www.ontario.ca/page/guideline-implementing-environmental-penalties-ontario-regulations-22207-and-22307" xr:uid="{34A3A1D7-A5D3-43D0-864A-8ADAE3045913}"/>
    <hyperlink ref="H25" r:id="rId10" location=":~:text=IDC's%20research%20demonstrates%20that%2C%20by%20moving%20Windows,per%20100%20users%20($3.46%20million%20per%20organization)." display="https://pages.awscloud.com/rs/112-TZM-766/images/GEN_windows-on-aws-it-infrastructure-idc-mini-report_Sep-2019.pdf#:~:text=IDC's%20research%20demonstrates%20that%2C%20by%20moving%20Windows,per%20100%20users%20($3.46%20million%20per%20organization)." xr:uid="{7C1351A3-35A3-41E0-B905-4701201ACC0A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44D4-41D2-43C2-9E94-F3259B59456D}">
  <dimension ref="A1:H17"/>
  <sheetViews>
    <sheetView workbookViewId="0">
      <selection activeCell="D18" sqref="D17:G18"/>
    </sheetView>
  </sheetViews>
  <sheetFormatPr defaultRowHeight="14.4" x14ac:dyDescent="0.3"/>
  <cols>
    <col min="2" max="2" width="36.77734375" bestFit="1" customWidth="1"/>
    <col min="3" max="3" width="10.88671875" bestFit="1" customWidth="1"/>
    <col min="4" max="8" width="11.109375" bestFit="1" customWidth="1"/>
    <col min="10" max="10" width="14.6640625" bestFit="1" customWidth="1"/>
  </cols>
  <sheetData>
    <row r="1" spans="1:8" x14ac:dyDescent="0.3">
      <c r="C1" s="38" t="s">
        <v>31</v>
      </c>
      <c r="D1" s="38"/>
      <c r="E1" s="38"/>
      <c r="F1" s="38"/>
      <c r="G1" s="38"/>
    </row>
    <row r="2" spans="1:8" x14ac:dyDescent="0.3">
      <c r="A2" s="2"/>
      <c r="B2" s="12" t="s">
        <v>32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</row>
    <row r="3" spans="1:8" x14ac:dyDescent="0.3">
      <c r="A3" s="9" t="s">
        <v>33</v>
      </c>
      <c r="B3" s="6" t="s">
        <v>86</v>
      </c>
      <c r="C3" s="24">
        <v>-25000</v>
      </c>
      <c r="D3" s="24">
        <v>0</v>
      </c>
      <c r="E3" s="24">
        <v>0</v>
      </c>
      <c r="F3" s="24">
        <v>0</v>
      </c>
      <c r="G3" s="24">
        <v>0</v>
      </c>
    </row>
    <row r="4" spans="1:8" x14ac:dyDescent="0.3">
      <c r="A4" s="6"/>
      <c r="B4" s="6"/>
      <c r="C4" s="24"/>
      <c r="D4" s="24"/>
      <c r="E4" s="24"/>
      <c r="F4" s="24"/>
      <c r="G4" s="24"/>
    </row>
    <row r="5" spans="1:8" x14ac:dyDescent="0.3">
      <c r="A5" s="6"/>
      <c r="B5" s="6"/>
      <c r="C5" s="24"/>
      <c r="D5" s="24"/>
      <c r="E5" s="24"/>
      <c r="F5" s="24"/>
      <c r="G5" s="24"/>
    </row>
    <row r="6" spans="1:8" x14ac:dyDescent="0.3">
      <c r="A6" s="6"/>
      <c r="B6" s="6"/>
      <c r="C6" s="24"/>
      <c r="D6" s="24"/>
      <c r="E6" s="24"/>
      <c r="F6" s="24"/>
      <c r="G6" s="24"/>
    </row>
    <row r="7" spans="1:8" x14ac:dyDescent="0.3">
      <c r="A7" s="10" t="s">
        <v>34</v>
      </c>
      <c r="B7" s="7" t="s">
        <v>87</v>
      </c>
      <c r="C7" s="25">
        <v>-3211</v>
      </c>
      <c r="D7" s="25">
        <v>-3211</v>
      </c>
      <c r="E7" s="25">
        <v>-3211</v>
      </c>
      <c r="F7" s="25">
        <v>-3211</v>
      </c>
      <c r="G7" s="25">
        <v>-3211</v>
      </c>
    </row>
    <row r="8" spans="1:8" x14ac:dyDescent="0.3">
      <c r="A8" s="7"/>
      <c r="B8" s="7" t="s">
        <v>90</v>
      </c>
      <c r="C8" s="25">
        <v>-4900</v>
      </c>
      <c r="D8" s="25">
        <v>-4900</v>
      </c>
      <c r="E8" s="25">
        <v>-4900</v>
      </c>
      <c r="F8" s="25">
        <v>-4900</v>
      </c>
      <c r="G8" s="25">
        <v>-4900</v>
      </c>
    </row>
    <row r="9" spans="1:8" x14ac:dyDescent="0.3">
      <c r="A9" s="7"/>
      <c r="B9" s="7" t="s">
        <v>102</v>
      </c>
      <c r="C9" s="25">
        <v>-1200</v>
      </c>
      <c r="D9" s="25">
        <v>-1200</v>
      </c>
      <c r="E9" s="25">
        <v>-1200</v>
      </c>
      <c r="F9" s="25">
        <v>-1200</v>
      </c>
      <c r="G9" s="25">
        <v>-1200</v>
      </c>
    </row>
    <row r="10" spans="1:8" x14ac:dyDescent="0.3">
      <c r="A10" s="7"/>
      <c r="B10" s="7" t="s">
        <v>89</v>
      </c>
      <c r="C10" s="25">
        <v>-2500</v>
      </c>
      <c r="D10" s="25">
        <v>-2500</v>
      </c>
      <c r="E10" s="25">
        <v>-2500</v>
      </c>
      <c r="F10" s="25">
        <v>-2500</v>
      </c>
      <c r="G10" s="25">
        <v>-2500</v>
      </c>
    </row>
    <row r="11" spans="1:8" x14ac:dyDescent="0.3">
      <c r="A11" s="7"/>
      <c r="B11" s="7" t="s">
        <v>88</v>
      </c>
      <c r="C11" s="25">
        <v>-30000</v>
      </c>
      <c r="D11" s="25">
        <v>-30000</v>
      </c>
      <c r="E11" s="25">
        <v>-30000</v>
      </c>
      <c r="F11" s="25">
        <v>-30000</v>
      </c>
      <c r="G11" s="25">
        <v>-30000</v>
      </c>
    </row>
    <row r="12" spans="1:8" x14ac:dyDescent="0.3">
      <c r="A12" s="11" t="s">
        <v>35</v>
      </c>
      <c r="B12" s="8" t="s">
        <v>69</v>
      </c>
      <c r="C12" s="26">
        <v>0</v>
      </c>
      <c r="D12" s="26">
        <v>50000</v>
      </c>
      <c r="E12" s="26">
        <v>50000</v>
      </c>
      <c r="F12" s="26">
        <v>50000</v>
      </c>
      <c r="G12" s="26">
        <v>50000</v>
      </c>
    </row>
    <row r="13" spans="1:8" x14ac:dyDescent="0.3">
      <c r="A13" s="8"/>
      <c r="B13" s="8" t="s">
        <v>71</v>
      </c>
      <c r="C13" s="26">
        <v>0</v>
      </c>
      <c r="D13" s="26">
        <v>60000</v>
      </c>
      <c r="E13" s="26">
        <v>60000</v>
      </c>
      <c r="F13" s="26">
        <v>60000</v>
      </c>
      <c r="G13" s="26">
        <v>60000</v>
      </c>
    </row>
    <row r="14" spans="1:8" x14ac:dyDescent="0.3">
      <c r="A14" s="8"/>
      <c r="B14" s="8" t="s">
        <v>73</v>
      </c>
      <c r="C14" s="26">
        <v>0</v>
      </c>
      <c r="D14" s="26">
        <v>16000</v>
      </c>
      <c r="E14" s="26">
        <v>16000</v>
      </c>
      <c r="F14" s="26">
        <v>16000</v>
      </c>
      <c r="G14" s="26">
        <v>16000</v>
      </c>
    </row>
    <row r="15" spans="1:8" x14ac:dyDescent="0.3">
      <c r="A15" s="8"/>
      <c r="B15" s="8" t="s">
        <v>75</v>
      </c>
      <c r="C15" s="26">
        <v>0</v>
      </c>
      <c r="D15" s="26">
        <v>50000</v>
      </c>
      <c r="E15" s="26">
        <v>50000</v>
      </c>
      <c r="F15" s="26">
        <v>50000</v>
      </c>
      <c r="G15" s="26">
        <v>50000</v>
      </c>
    </row>
    <row r="16" spans="1:8" x14ac:dyDescent="0.3">
      <c r="A16" s="8"/>
      <c r="B16" s="8" t="s">
        <v>96</v>
      </c>
      <c r="C16" s="26">
        <v>0</v>
      </c>
      <c r="D16" s="26">
        <v>8000</v>
      </c>
      <c r="E16" s="26">
        <v>8000</v>
      </c>
      <c r="F16" s="26">
        <v>8000</v>
      </c>
      <c r="G16" s="26">
        <v>8000</v>
      </c>
      <c r="H16" s="13" t="s">
        <v>36</v>
      </c>
    </row>
    <row r="17" spans="1:8" x14ac:dyDescent="0.3">
      <c r="A17" s="13" t="s">
        <v>37</v>
      </c>
      <c r="C17" s="23">
        <f>SUM(C3:C16)</f>
        <v>-66811</v>
      </c>
      <c r="D17" s="23">
        <f>SUM(D3:D16)</f>
        <v>142189</v>
      </c>
      <c r="E17" s="23">
        <f>SUM(E3:E16)</f>
        <v>142189</v>
      </c>
      <c r="F17" s="23">
        <f>SUM(F3:F16)</f>
        <v>142189</v>
      </c>
      <c r="G17" s="23">
        <f>SUM(G3:G16)</f>
        <v>142189</v>
      </c>
      <c r="H17" s="23">
        <f>SUM(C17:G17)</f>
        <v>501945</v>
      </c>
    </row>
  </sheetData>
  <mergeCells count="1">
    <mergeCell ref="C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F674FA-7810-46AD-AE59-045B24A980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4ADC37-897E-402F-A709-869687DA4F6A}">
  <ds:schemaRefs>
    <ds:schemaRef ds:uri="http://schemas.openxmlformats.org/package/2006/metadata/core-properties"/>
    <ds:schemaRef ds:uri="http://purl.org/dc/dcmitype/"/>
    <ds:schemaRef ds:uri="http://purl.org/dc/terms/"/>
    <ds:schemaRef ds:uri="a5db53bf-fe91-4cb9-a657-3e0c4c7ee7a0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006c7cb9-3c36-40e5-a5d9-86e0029a058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4C09D30-E7B9-46FB-AECB-A5CB6EB8B3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c7cb9-3c36-40e5-a5d9-86e0029a058a"/>
    <ds:schemaRef ds:uri="a5db53bf-fe91-4cb9-a657-3e0c4c7ee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Parameters</vt:lpstr>
      <vt:lpstr>Costs and Benefits Estimation</vt:lpstr>
      <vt:lpstr>Cost and Benefits Cash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Leung, Vincent;Banik, Tridib</dc:creator>
  <cp:keywords/>
  <dc:description/>
  <cp:lastModifiedBy>Tridib Banik</cp:lastModifiedBy>
  <cp:revision/>
  <dcterms:created xsi:type="dcterms:W3CDTF">2026-01-07T22:13:22Z</dcterms:created>
  <dcterms:modified xsi:type="dcterms:W3CDTF">2026-01-19T15:09:58Z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