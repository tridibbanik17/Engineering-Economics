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3PX3_Excel_Files\"/>
    </mc:Choice>
  </mc:AlternateContent>
  <xr:revisionPtr revIDLastSave="0" documentId="13_ncr:1_{B4F9A11C-BF9C-4503-B589-8D6225918403}" xr6:coauthVersionLast="47" xr6:coauthVersionMax="47" xr10:uidLastSave="{00000000-0000-0000-0000-000000000000}"/>
  <bookViews>
    <workbookView xWindow="-108" yWindow="-108" windowWidth="23256" windowHeight="12456" activeTab="1" xr2:uid="{4E769DF5-2DE3-4BB9-B803-CA06AC8B56E6}"/>
  </bookViews>
  <sheets>
    <sheet name="Stochastic" sheetId="4" r:id="rId1"/>
    <sheet name="Sensitivity_Analysis" sheetId="2" r:id="rId2"/>
    <sheet name="Monte_Carlo" sheetId="3" r:id="rId3"/>
  </sheets>
  <definedNames>
    <definedName name="_xlchart.v1.0" hidden="1">Monte_Carlo!$B$2:$B$501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M3" i="4"/>
  <c r="C3" i="4"/>
  <c r="AA4" i="4"/>
  <c r="P4" i="4" s="1"/>
  <c r="AA5" i="4"/>
  <c r="P5" i="4" s="1"/>
  <c r="AA6" i="4"/>
  <c r="P6" i="4" s="1"/>
  <c r="AA7" i="4"/>
  <c r="P7" i="4" s="1"/>
  <c r="AA8" i="4"/>
  <c r="P8" i="4" s="1"/>
  <c r="AA9" i="4"/>
  <c r="P9" i="4" s="1"/>
  <c r="AA10" i="4"/>
  <c r="P10" i="4" s="1"/>
  <c r="AA11" i="4"/>
  <c r="P11" i="4" s="1"/>
  <c r="AA12" i="4"/>
  <c r="P12" i="4" s="1"/>
  <c r="AA3" i="4"/>
  <c r="P3" i="4" s="1"/>
  <c r="O4" i="4"/>
  <c r="O5" i="4"/>
  <c r="O6" i="4"/>
  <c r="O7" i="4"/>
  <c r="O8" i="4"/>
  <c r="O9" i="4"/>
  <c r="O10" i="4"/>
  <c r="O11" i="4"/>
  <c r="O12" i="4"/>
  <c r="O3" i="4"/>
  <c r="M4" i="4"/>
  <c r="M5" i="4"/>
  <c r="M6" i="4"/>
  <c r="M7" i="4"/>
  <c r="M8" i="4"/>
  <c r="M9" i="4"/>
  <c r="M10" i="4"/>
  <c r="M11" i="4"/>
  <c r="M12" i="4"/>
  <c r="Z4" i="4"/>
  <c r="N4" i="4" s="1"/>
  <c r="Z5" i="4"/>
  <c r="N5" i="4" s="1"/>
  <c r="Z6" i="4"/>
  <c r="N6" i="4" s="1"/>
  <c r="Z7" i="4"/>
  <c r="N7" i="4" s="1"/>
  <c r="Z8" i="4"/>
  <c r="N8" i="4" s="1"/>
  <c r="Z9" i="4"/>
  <c r="N9" i="4" s="1"/>
  <c r="Z10" i="4"/>
  <c r="N10" i="4" s="1"/>
  <c r="Z11" i="4"/>
  <c r="N11" i="4" s="1"/>
  <c r="Z12" i="4"/>
  <c r="N12" i="4" s="1"/>
  <c r="Z3" i="4"/>
  <c r="N3" i="4" s="1"/>
  <c r="J3" i="4"/>
  <c r="Y4" i="4"/>
  <c r="L4" i="4" s="1"/>
  <c r="Y5" i="4"/>
  <c r="L5" i="4" s="1"/>
  <c r="Y6" i="4"/>
  <c r="L6" i="4" s="1"/>
  <c r="Y7" i="4"/>
  <c r="L7" i="4" s="1"/>
  <c r="Y8" i="4"/>
  <c r="L8" i="4" s="1"/>
  <c r="Y9" i="4"/>
  <c r="L9" i="4" s="1"/>
  <c r="Y10" i="4"/>
  <c r="L10" i="4" s="1"/>
  <c r="Y11" i="4"/>
  <c r="L11" i="4" s="1"/>
  <c r="Y12" i="4"/>
  <c r="L12" i="4" s="1"/>
  <c r="Y3" i="4"/>
  <c r="L3" i="4" s="1"/>
  <c r="J4" i="4"/>
  <c r="J5" i="4"/>
  <c r="J6" i="4"/>
  <c r="J7" i="4"/>
  <c r="J8" i="4"/>
  <c r="J9" i="4"/>
  <c r="J10" i="4"/>
  <c r="J11" i="4"/>
  <c r="J12" i="4"/>
  <c r="X4" i="4"/>
  <c r="K4" i="4" s="1"/>
  <c r="X5" i="4"/>
  <c r="K5" i="4" s="1"/>
  <c r="X6" i="4"/>
  <c r="K6" i="4" s="1"/>
  <c r="X7" i="4"/>
  <c r="K7" i="4" s="1"/>
  <c r="X8" i="4"/>
  <c r="K8" i="4" s="1"/>
  <c r="X9" i="4"/>
  <c r="K9" i="4" s="1"/>
  <c r="X10" i="4"/>
  <c r="K10" i="4" s="1"/>
  <c r="X11" i="4"/>
  <c r="K11" i="4" s="1"/>
  <c r="X12" i="4"/>
  <c r="K12" i="4" s="1"/>
  <c r="X3" i="4"/>
  <c r="K3" i="4" s="1"/>
  <c r="H3" i="4"/>
  <c r="U4" i="4"/>
  <c r="T4" i="4"/>
  <c r="S6" i="4"/>
  <c r="R4" i="4"/>
  <c r="Q4" i="4"/>
  <c r="I4" i="4"/>
  <c r="I5" i="4"/>
  <c r="I6" i="4"/>
  <c r="I7" i="4"/>
  <c r="I8" i="4"/>
  <c r="I9" i="4"/>
  <c r="I10" i="4"/>
  <c r="I11" i="4"/>
  <c r="I12" i="4"/>
  <c r="I3" i="4"/>
  <c r="G4" i="4"/>
  <c r="G5" i="4"/>
  <c r="G6" i="4"/>
  <c r="G7" i="4"/>
  <c r="G8" i="4"/>
  <c r="G9" i="4"/>
  <c r="G10" i="4"/>
  <c r="G11" i="4"/>
  <c r="G12" i="4"/>
  <c r="G3" i="4"/>
  <c r="D3" i="4"/>
  <c r="B28" i="4"/>
  <c r="U12" i="4"/>
  <c r="T12" i="4"/>
  <c r="S12" i="4"/>
  <c r="R12" i="4"/>
  <c r="Q12" i="4"/>
  <c r="H12" i="4"/>
  <c r="U11" i="4"/>
  <c r="T11" i="4"/>
  <c r="S11" i="4"/>
  <c r="R11" i="4"/>
  <c r="Q11" i="4"/>
  <c r="H11" i="4"/>
  <c r="U10" i="4"/>
  <c r="T10" i="4"/>
  <c r="S10" i="4"/>
  <c r="R10" i="4"/>
  <c r="Q10" i="4"/>
  <c r="H10" i="4"/>
  <c r="U9" i="4"/>
  <c r="T9" i="4"/>
  <c r="S9" i="4"/>
  <c r="R9" i="4"/>
  <c r="Q9" i="4"/>
  <c r="H9" i="4"/>
  <c r="U8" i="4"/>
  <c r="T8" i="4"/>
  <c r="S8" i="4"/>
  <c r="R8" i="4"/>
  <c r="Q8" i="4"/>
  <c r="H8" i="4"/>
  <c r="U7" i="4"/>
  <c r="T7" i="4"/>
  <c r="S7" i="4"/>
  <c r="R7" i="4"/>
  <c r="Q7" i="4"/>
  <c r="H7" i="4"/>
  <c r="U6" i="4"/>
  <c r="T6" i="4"/>
  <c r="R6" i="4"/>
  <c r="Q6" i="4"/>
  <c r="H6" i="4"/>
  <c r="U5" i="4"/>
  <c r="T5" i="4"/>
  <c r="S5" i="4"/>
  <c r="R5" i="4"/>
  <c r="Q5" i="4"/>
  <c r="H5" i="4"/>
  <c r="S4" i="4"/>
  <c r="H4" i="4"/>
  <c r="V5" i="4" l="1"/>
  <c r="V4" i="4"/>
  <c r="E3" i="4"/>
  <c r="V12" i="4"/>
  <c r="V8" i="4"/>
  <c r="V6" i="4"/>
  <c r="V11" i="4"/>
  <c r="V9" i="4"/>
  <c r="V3" i="4"/>
  <c r="V10" i="4"/>
  <c r="V7" i="4"/>
  <c r="V13" i="4" l="1"/>
  <c r="V14" i="4" l="1"/>
  <c r="C2" i="3" s="1"/>
  <c r="L4" i="3" s="1"/>
  <c r="B2" i="3"/>
  <c r="K4" i="3" s="1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" i="3"/>
  <c r="A6" i="3" s="1"/>
  <c r="A7" i="3" s="1"/>
  <c r="A8" i="3" s="1"/>
  <c r="A9" i="3" s="1"/>
  <c r="A10" i="3" s="1"/>
  <c r="A4" i="3"/>
  <c r="A3" i="3"/>
  <c r="C3" i="2"/>
  <c r="C4" i="2"/>
  <c r="M8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D11" i="2"/>
  <c r="M9" i="2" s="1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 l="1"/>
  <c r="G16" i="2"/>
  <c r="F16" i="2"/>
  <c r="E16" i="2"/>
  <c r="L6" i="2"/>
  <c r="L13" i="2"/>
  <c r="L9" i="2"/>
  <c r="M6" i="2"/>
  <c r="L11" i="2"/>
  <c r="L10" i="2"/>
  <c r="L8" i="2"/>
  <c r="M7" i="2"/>
  <c r="M14" i="2"/>
  <c r="M13" i="2"/>
  <c r="M12" i="2"/>
  <c r="M11" i="2"/>
  <c r="M10" i="2"/>
  <c r="L14" i="2"/>
  <c r="L12" i="2"/>
  <c r="L7" i="2"/>
  <c r="L5" i="2"/>
  <c r="B28" i="2" l="1"/>
  <c r="C5" i="2" s="1"/>
  <c r="D53" i="2"/>
  <c r="F53" i="2"/>
  <c r="H53" i="2"/>
  <c r="D54" i="2"/>
  <c r="F54" i="2"/>
  <c r="H54" i="2"/>
  <c r="D55" i="2"/>
  <c r="F55" i="2"/>
  <c r="H55" i="2"/>
  <c r="D56" i="2"/>
  <c r="F56" i="2"/>
  <c r="H56" i="2"/>
  <c r="D57" i="2"/>
  <c r="F57" i="2"/>
  <c r="H57" i="2"/>
  <c r="D58" i="2"/>
  <c r="F58" i="2"/>
  <c r="H58" i="2"/>
  <c r="D59" i="2"/>
  <c r="F59" i="2"/>
  <c r="H59" i="2"/>
  <c r="D60" i="2"/>
  <c r="F60" i="2"/>
  <c r="H60" i="2"/>
  <c r="D61" i="2"/>
  <c r="F61" i="2"/>
  <c r="H61" i="2"/>
  <c r="K5" i="2" l="1"/>
  <c r="C16" i="2"/>
  <c r="H16" i="2" s="1"/>
  <c r="N11" i="2"/>
  <c r="N9" i="2"/>
  <c r="N10" i="2"/>
  <c r="L2" i="3" l="1"/>
  <c r="L3" i="3"/>
  <c r="K2" i="3"/>
  <c r="K3" i="3"/>
  <c r="N14" i="2"/>
  <c r="N6" i="2"/>
  <c r="N8" i="2"/>
  <c r="N7" i="2"/>
  <c r="N12" i="2"/>
  <c r="N13" i="2"/>
  <c r="N5" i="2"/>
  <c r="K6" i="3" l="1"/>
  <c r="L6" i="3"/>
  <c r="K5" i="3"/>
  <c r="L5" i="3"/>
  <c r="N15" i="2"/>
  <c r="G52" i="2" s="1"/>
  <c r="E52" i="2" l="1"/>
  <c r="I52" i="2"/>
  <c r="N16" i="2"/>
</calcChain>
</file>

<file path=xl/sharedStrings.xml><?xml version="1.0" encoding="utf-8"?>
<sst xmlns="http://schemas.openxmlformats.org/spreadsheetml/2006/main" count="206" uniqueCount="108">
  <si>
    <t>From Week 9, Uncertainty ranges are:</t>
  </si>
  <si>
    <t>Risk Driver</t>
  </si>
  <si>
    <t>Uncertainty Range</t>
  </si>
  <si>
    <t>Uncertainty in Updating of Cybersecurity</t>
  </si>
  <si>
    <t>+-50%</t>
  </si>
  <si>
    <t>Operating Cost Variability Due to Cloud and Energy Use</t>
  </si>
  <si>
    <t>Hardware Failure</t>
  </si>
  <si>
    <t>+-7.5%</t>
  </si>
  <si>
    <t>Uncertainty in Time for Certification of Cybersecurity for Whole System</t>
  </si>
  <si>
    <t>+-1%</t>
  </si>
  <si>
    <t>Nominal Annual Discount Rate</t>
  </si>
  <si>
    <t>Inflation Rate</t>
  </si>
  <si>
    <t>Value</t>
  </si>
  <si>
    <t>Inflation</t>
  </si>
  <si>
    <t>Nominal Discount Rate</t>
  </si>
  <si>
    <t>Year</t>
  </si>
  <si>
    <t>CapEx (Real)</t>
  </si>
  <si>
    <t>OpEx (Real)</t>
  </si>
  <si>
    <t>Monetized benefits (Real)</t>
  </si>
  <si>
    <t>Net cash flow (Nominal)</t>
  </si>
  <si>
    <t>PW</t>
  </si>
  <si>
    <t>AW</t>
  </si>
  <si>
    <t>Spider Plot</t>
  </si>
  <si>
    <t>Base case</t>
  </si>
  <si>
    <t>Converstion Factors</t>
  </si>
  <si>
    <t>Item</t>
  </si>
  <si>
    <t>Number of Cameras</t>
  </si>
  <si>
    <t>#</t>
  </si>
  <si>
    <t>Camera</t>
  </si>
  <si>
    <t>$/camera</t>
  </si>
  <si>
    <t>CapEx</t>
  </si>
  <si>
    <t>Cameras</t>
  </si>
  <si>
    <t>TBs of Storage</t>
  </si>
  <si>
    <t>TB</t>
  </si>
  <si>
    <t>TB of Storage</t>
  </si>
  <si>
    <t>$/TB</t>
  </si>
  <si>
    <t>Hard Drives</t>
  </si>
  <si>
    <t>Required Network Bandwidth</t>
  </si>
  <si>
    <t>MB/s</t>
  </si>
  <si>
    <t>Wireless Access Point Bandwidth</t>
  </si>
  <si>
    <t>Wireless Access Points</t>
  </si>
  <si>
    <t>Number of Wireless Access Points:</t>
  </si>
  <si>
    <t>Wireless Access Point</t>
  </si>
  <si>
    <t>$/WAP</t>
  </si>
  <si>
    <t>Property Insurance</t>
  </si>
  <si>
    <t>$</t>
  </si>
  <si>
    <t>Camera Maintenance</t>
  </si>
  <si>
    <t>OpEx</t>
  </si>
  <si>
    <t>Camera, Sensor, Security-Related Device Maintenance</t>
  </si>
  <si>
    <t>Encryption Savings</t>
  </si>
  <si>
    <t>Security Guard</t>
  </si>
  <si>
    <t>$/hour</t>
  </si>
  <si>
    <t>Salary of Network Engineer</t>
  </si>
  <si>
    <t>Low Bandwidth Productivity Rate</t>
  </si>
  <si>
    <t>% (in decimal form)</t>
  </si>
  <si>
    <t>Property Insurance Reduction</t>
  </si>
  <si>
    <t>Data Center Energy</t>
  </si>
  <si>
    <t>Pessimistic Network Engineer Salary</t>
  </si>
  <si>
    <t>$/year</t>
  </si>
  <si>
    <t>Average Breaches</t>
  </si>
  <si>
    <t>#/year</t>
  </si>
  <si>
    <t>Most Likely Network Engineer Salary</t>
  </si>
  <si>
    <t>kWh per TB</t>
  </si>
  <si>
    <t>kWh/TB</t>
  </si>
  <si>
    <t>Benefits</t>
  </si>
  <si>
    <t>Eliminated Patrol Salary</t>
  </si>
  <si>
    <t>Optimistic Network Engineer Salary</t>
  </si>
  <si>
    <t>$ per kWh</t>
  </si>
  <si>
    <t>$/kWh</t>
  </si>
  <si>
    <t>Expected Value of Avoided Downtime</t>
  </si>
  <si>
    <t>Reduced Property Insurance Premiums</t>
  </si>
  <si>
    <t>Enhanced Encryption</t>
  </si>
  <si>
    <t>Security Productivity</t>
  </si>
  <si>
    <t>Total</t>
  </si>
  <si>
    <t>Net Cash Flow</t>
  </si>
  <si>
    <t>Design Parameters</t>
  </si>
  <si>
    <t>Impact</t>
  </si>
  <si>
    <t>Risks</t>
  </si>
  <si>
    <t>Implement?</t>
  </si>
  <si>
    <t>Risk Mitigation</t>
  </si>
  <si>
    <t>Cost</t>
  </si>
  <si>
    <t>Benefit</t>
  </si>
  <si>
    <t>Reserved pricing, FinOps reviews, and real-time monitoring</t>
  </si>
  <si>
    <t>Early planning, readiness checks, and schedule buffering</t>
  </si>
  <si>
    <t>Hire expert for regular maintenance and code documentation</t>
  </si>
  <si>
    <t>Reduces risk probability by 25%</t>
  </si>
  <si>
    <t>Reduces unexpected costs by 35%</t>
  </si>
  <si>
    <t>Stochastic terms (press F9 to refresh):</t>
  </si>
  <si>
    <t>Run</t>
  </si>
  <si>
    <t>Mean</t>
  </si>
  <si>
    <t>Stdev</t>
  </si>
  <si>
    <t>Confidence Interval Upper</t>
  </si>
  <si>
    <t>Confidence Interval Lower</t>
  </si>
  <si>
    <t>Reference PW</t>
  </si>
  <si>
    <t>Reference AW</t>
  </si>
  <si>
    <t>Hardware Failure/Need for Immediate Maintenance</t>
  </si>
  <si>
    <t>Likeliness (%/year)</t>
  </si>
  <si>
    <t>N+1 redundacy for hardware</t>
  </si>
  <si>
    <t>Reduces risk probability by 11.31%</t>
  </si>
  <si>
    <t>Additional Operating Cost from Cloud and Energy Use</t>
  </si>
  <si>
    <t>Additional Cost for Certification of Cybersecurity for Whole System</t>
  </si>
  <si>
    <t>Virtually eliminates certification as the project critical delay (reduces likeliness by 2%)</t>
  </si>
  <si>
    <t>Additional Cost for Updating Cybersecurity</t>
  </si>
  <si>
    <t>Additional Cost for Hardware Failure/Need for Immediate Maintenance</t>
  </si>
  <si>
    <t>Unit</t>
  </si>
  <si>
    <t>Note: This assumes that certification of cybersecurity system takes place annually.</t>
  </si>
  <si>
    <t>Benefit is ongoing, but Cost us CapEx</t>
  </si>
  <si>
    <t>Probability Value&gt;0: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</si>
</sst>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9" fontId="0" fillId="0" borderId="0" xfId="0" applyNumberFormat="1"/>
    <xf numFmtId="10" fontId="2" fillId="0" borderId="2" xfId="0" applyNumberFormat="1" applyFont="1" applyBorder="1"/>
    <xf numFmtId="0" fontId="2" fillId="0" borderId="2" xfId="0" applyFont="1" applyBorder="1"/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8" fontId="0" fillId="0" borderId="0" xfId="0" applyNumberFormat="1"/>
    <xf numFmtId="0" fontId="3" fillId="0" borderId="0" xfId="0" applyFont="1"/>
    <xf numFmtId="0" fontId="5" fillId="0" borderId="2" xfId="0" applyFont="1" applyBorder="1"/>
    <xf numFmtId="8" fontId="0" fillId="0" borderId="2" xfId="0" applyNumberFormat="1" applyBorder="1"/>
    <xf numFmtId="9" fontId="5" fillId="0" borderId="2" xfId="0" applyNumberFormat="1" applyFont="1" applyBorder="1"/>
    <xf numFmtId="0" fontId="5" fillId="2" borderId="2" xfId="0" applyFont="1" applyFill="1" applyBorder="1"/>
    <xf numFmtId="0" fontId="0" fillId="2" borderId="2" xfId="0" applyFill="1" applyBorder="1"/>
    <xf numFmtId="2" fontId="0" fillId="2" borderId="2" xfId="0" applyNumberFormat="1" applyFill="1" applyBorder="1"/>
    <xf numFmtId="0" fontId="5" fillId="3" borderId="2" xfId="0" applyFont="1" applyFill="1" applyBorder="1"/>
    <xf numFmtId="0" fontId="0" fillId="3" borderId="2" xfId="0" applyFill="1" applyBorder="1"/>
    <xf numFmtId="2" fontId="0" fillId="3" borderId="2" xfId="0" applyNumberFormat="1" applyFill="1" applyBorder="1"/>
    <xf numFmtId="0" fontId="5" fillId="4" borderId="2" xfId="0" applyFont="1" applyFill="1" applyBorder="1"/>
    <xf numFmtId="0" fontId="0" fillId="4" borderId="2" xfId="0" applyFill="1" applyBorder="1"/>
    <xf numFmtId="2" fontId="0" fillId="4" borderId="2" xfId="0" applyNumberFormat="1" applyFill="1" applyBorder="1"/>
    <xf numFmtId="164" fontId="0" fillId="0" borderId="2" xfId="0" applyNumberFormat="1" applyBorder="1"/>
    <xf numFmtId="8" fontId="0" fillId="0" borderId="2" xfId="1" applyNumberFormat="1" applyFont="1" applyBorder="1" applyAlignment="1">
      <alignment horizontal="right" vertical="center" wrapText="1"/>
    </xf>
    <xf numFmtId="8" fontId="0" fillId="3" borderId="2" xfId="0" applyNumberFormat="1" applyFill="1" applyBorder="1"/>
    <xf numFmtId="8" fontId="4" fillId="3" borderId="2" xfId="1" applyNumberFormat="1" applyFont="1" applyFill="1" applyBorder="1" applyAlignment="1">
      <alignment horizontal="right" vertical="center" wrapText="1"/>
    </xf>
    <xf numFmtId="0" fontId="0" fillId="2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44" fontId="0" fillId="0" borderId="0" xfId="1" applyFont="1" applyFill="1" applyBorder="1"/>
    <xf numFmtId="164" fontId="0" fillId="2" borderId="2" xfId="1" applyNumberFormat="1" applyFont="1" applyFill="1" applyBorder="1"/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 vertical="top" wrapText="1"/>
    </xf>
    <xf numFmtId="164" fontId="0" fillId="0" borderId="0" xfId="1" applyNumberFormat="1" applyFont="1" applyFill="1" applyBorder="1"/>
    <xf numFmtId="0" fontId="1" fillId="0" borderId="2" xfId="0" applyFont="1" applyBorder="1" applyAlignment="1">
      <alignment horizontal="center"/>
    </xf>
    <xf numFmtId="9" fontId="2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2" fontId="0" fillId="0" borderId="2" xfId="0" applyNumberFormat="1" applyBorder="1"/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horizontal="center" vertical="top" wrapText="1"/>
    </xf>
    <xf numFmtId="6" fontId="0" fillId="0" borderId="2" xfId="0" applyNumberFormat="1" applyBorder="1" applyAlignment="1">
      <alignment horizontal="center"/>
    </xf>
    <xf numFmtId="6" fontId="0" fillId="0" borderId="2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164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4" borderId="3" xfId="0" applyFill="1" applyBorder="1" applyAlignment="1">
      <alignment wrapText="1"/>
    </xf>
    <xf numFmtId="44" fontId="0" fillId="4" borderId="3" xfId="1" applyFont="1" applyFill="1" applyBorder="1"/>
    <xf numFmtId="44" fontId="0" fillId="4" borderId="6" xfId="1" applyFont="1" applyFill="1" applyBorder="1"/>
    <xf numFmtId="0" fontId="0" fillId="0" borderId="2" xfId="0" applyBorder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164" fontId="0" fillId="0" borderId="2" xfId="1" applyNumberFormat="1" applyFon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6" fillId="2" borderId="2" xfId="0" applyNumberFormat="1" applyFont="1" applyFill="1" applyBorder="1"/>
    <xf numFmtId="164" fontId="6" fillId="3" borderId="2" xfId="0" applyNumberFormat="1" applyFont="1" applyFill="1" applyBorder="1"/>
    <xf numFmtId="8" fontId="8" fillId="0" borderId="0" xfId="0" applyNumberFormat="1" applyFont="1"/>
    <xf numFmtId="0" fontId="8" fillId="0" borderId="0" xfId="0" applyFont="1"/>
    <xf numFmtId="44" fontId="8" fillId="0" borderId="0" xfId="0" applyNumberFormat="1" applyFont="1"/>
    <xf numFmtId="44" fontId="0" fillId="0" borderId="0" xfId="1" applyFont="1"/>
    <xf numFmtId="10" fontId="8" fillId="0" borderId="0" xfId="0" applyNumberFormat="1" applyFont="1"/>
    <xf numFmtId="10" fontId="7" fillId="0" borderId="0" xfId="0" applyNumberFormat="1" applyFont="1"/>
    <xf numFmtId="164" fontId="0" fillId="3" borderId="2" xfId="1" applyNumberFormat="1" applyFont="1" applyFill="1" applyBorder="1"/>
    <xf numFmtId="164" fontId="0" fillId="4" borderId="2" xfId="1" applyNumberFormat="1" applyFont="1" applyFill="1" applyBorder="1"/>
    <xf numFmtId="164" fontId="0" fillId="4" borderId="3" xfId="1" applyNumberFormat="1" applyFont="1" applyFill="1" applyBorder="1"/>
    <xf numFmtId="164" fontId="6" fillId="0" borderId="2" xfId="0" applyNumberFormat="1" applyFont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164" fontId="7" fillId="0" borderId="2" xfId="0" applyNumberFormat="1" applyFont="1" applyBorder="1"/>
    <xf numFmtId="9" fontId="2" fillId="0" borderId="1" xfId="0" applyNumberFormat="1" applyFont="1" applyBorder="1" applyAlignment="1">
      <alignment horizontal="center" vertical="top" wrapText="1"/>
    </xf>
    <xf numFmtId="10" fontId="0" fillId="0" borderId="2" xfId="0" applyNumberFormat="1" applyBorder="1" applyAlignment="1">
      <alignment horizontal="center" wrapText="1"/>
    </xf>
    <xf numFmtId="164" fontId="8" fillId="0" borderId="0" xfId="1" applyNumberFormat="1" applyFont="1" applyFill="1" applyBorder="1"/>
    <xf numFmtId="164" fontId="0" fillId="0" borderId="0" xfId="0" applyNumberFormat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0" borderId="7" xfId="0" applyBorder="1"/>
    <xf numFmtId="0" fontId="0" fillId="0" borderId="0" xfId="0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Number of Cameras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Sensitivity_Analysis!$C$53:$C$61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xVal>
          <c:yVal>
            <c:numRef>
              <c:f>Sensitivity_Analysis!$E$53:$E$61</c:f>
              <c:numCache>
                <c:formatCode>"$"#,##0.00</c:formatCode>
                <c:ptCount val="9"/>
                <c:pt idx="0">
                  <c:v>3610537.4436865808</c:v>
                </c:pt>
                <c:pt idx="1">
                  <c:v>3583423.9735782542</c:v>
                </c:pt>
                <c:pt idx="2">
                  <c:v>3556310.5034699268</c:v>
                </c:pt>
                <c:pt idx="3">
                  <c:v>3529197.0333615993</c:v>
                </c:pt>
                <c:pt idx="4">
                  <c:v>3502083.5632532728</c:v>
                </c:pt>
                <c:pt idx="5">
                  <c:v>3474970.0931449453</c:v>
                </c:pt>
                <c:pt idx="6">
                  <c:v>3447856.6230366188</c:v>
                </c:pt>
                <c:pt idx="7">
                  <c:v>3420743.1529282914</c:v>
                </c:pt>
                <c:pt idx="8">
                  <c:v>3393629.6828199639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52-42AF-B4A9-A98BA97A2152}"/>
            </c:ext>
          </c:extLst>
        </c:ser>
        <c:ser>
          <c:idx val="1"/>
          <c:order val="1"/>
          <c:tx>
            <c:v>TBs of storage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Sensitivity_Analysis!$C$53:$C$61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xVal>
          <c:yVal>
            <c:numRef>
              <c:f>Sensitivity_Analysis!$G$53:$G$61</c:f>
              <c:numCache>
                <c:formatCode>"$"#,##0.00</c:formatCode>
                <c:ptCount val="9"/>
                <c:pt idx="0">
                  <c:v>3598932.9589669057</c:v>
                </c:pt>
                <c:pt idx="1">
                  <c:v>3574720.610038497</c:v>
                </c:pt>
                <c:pt idx="2">
                  <c:v>3550508.2611100888</c:v>
                </c:pt>
                <c:pt idx="3">
                  <c:v>3526295.9121816806</c:v>
                </c:pt>
                <c:pt idx="4">
                  <c:v>3502083.5632532728</c:v>
                </c:pt>
                <c:pt idx="5">
                  <c:v>3477871.2143248641</c:v>
                </c:pt>
                <c:pt idx="6">
                  <c:v>3453658.8653964563</c:v>
                </c:pt>
                <c:pt idx="7">
                  <c:v>3429446.5164680486</c:v>
                </c:pt>
                <c:pt idx="8">
                  <c:v>3405234.1675396403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2-42AF-B4A9-A98BA97A2152}"/>
            </c:ext>
          </c:extLst>
        </c:ser>
        <c:ser>
          <c:idx val="2"/>
          <c:order val="2"/>
          <c:tx>
            <c:v>Required Network Bandwidth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Sensitivity_Analysis!$C$53:$C$61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xVal>
          <c:yVal>
            <c:numRef>
              <c:f>Sensitivity_Analysis!$I$53:$I$61</c:f>
              <c:numCache>
                <c:formatCode>"$"#,##0.00</c:formatCode>
                <c:ptCount val="9"/>
                <c:pt idx="0">
                  <c:v>3502657.7688607494</c:v>
                </c:pt>
                <c:pt idx="1">
                  <c:v>3502657.7688607494</c:v>
                </c:pt>
                <c:pt idx="2">
                  <c:v>3502657.7688607494</c:v>
                </c:pt>
                <c:pt idx="3">
                  <c:v>3502657.7688607494</c:v>
                </c:pt>
                <c:pt idx="4">
                  <c:v>3502083.5632532728</c:v>
                </c:pt>
                <c:pt idx="5">
                  <c:v>3502083.5632532728</c:v>
                </c:pt>
                <c:pt idx="6">
                  <c:v>3502083.5632532728</c:v>
                </c:pt>
                <c:pt idx="7">
                  <c:v>3502083.5632532728</c:v>
                </c:pt>
                <c:pt idx="8">
                  <c:v>3501509.3576457961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52-42AF-B4A9-A98BA97A2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115920"/>
        <c:axId val="409116400"/>
      </c:scatterChart>
      <c:valAx>
        <c:axId val="40911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 in Parameter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16400"/>
        <c:crossesAt val="-1900000"/>
        <c:crossBetween val="midCat"/>
      </c:valAx>
      <c:valAx>
        <c:axId val="4091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Present Worth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15920"/>
        <c:crossesAt val="-0.25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E84229B6-B711-4727-A34D-BDE5B1360563}">
          <cx:spPr>
            <a:solidFill>
              <a:schemeClr val="accent2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1295399</xdr:colOff>
      <xdr:row>43</xdr:row>
      <xdr:rowOff>128588</xdr:rowOff>
    </xdr:from>
    <xdr:to>
      <xdr:col>13</xdr:col>
      <xdr:colOff>1657349</xdr:colOff>
      <xdr:row>68</xdr:row>
      <xdr:rowOff>66675</xdr:rowOff>
    </xdr:to>
    <xdr:graphicFrame macro="">
      <xdr:nvGraphicFramePr>
        <xdr:cNvPr id="49" name="Chart 2">
          <a:extLst>
            <a:ext uri="{FF2B5EF4-FFF2-40B4-BE49-F238E27FC236}">
              <a16:creationId xmlns:a16="http://schemas.microsoft.com/office/drawing/2014/main" id="{92901D09-03E5-78C1-2302-9C18ECD2D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11</xdr:col>
      <xdr:colOff>693420</xdr:colOff>
      <xdr:row>30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8508D0-0B1A-4BCB-8D79-6DD548AE55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9480" y="2194560"/>
              <a:ext cx="67970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9D5E-A90B-4753-92EF-AB690E2C60C4}">
  <dimension ref="A1:AC52"/>
  <sheetViews>
    <sheetView zoomScale="75" zoomScaleNormal="85" workbookViewId="0">
      <selection activeCell="B47" sqref="B47"/>
    </sheetView>
  </sheetViews>
  <sheetFormatPr defaultRowHeight="14.4" x14ac:dyDescent="0.3"/>
  <cols>
    <col min="1" max="1" width="33.6640625" bestFit="1" customWidth="1"/>
    <col min="2" max="2" width="19.109375" bestFit="1" customWidth="1"/>
    <col min="3" max="3" width="17.33203125" customWidth="1"/>
    <col min="4" max="4" width="20.109375" customWidth="1"/>
    <col min="5" max="5" width="30.88671875" bestFit="1" customWidth="1"/>
    <col min="6" max="6" width="26.33203125" customWidth="1"/>
    <col min="7" max="7" width="17" bestFit="1" customWidth="1"/>
    <col min="8" max="8" width="13.33203125" customWidth="1"/>
    <col min="9" max="9" width="11.88671875" bestFit="1" customWidth="1"/>
    <col min="10" max="11" width="12.6640625" bestFit="1" customWidth="1"/>
    <col min="12" max="13" width="11.88671875" customWidth="1"/>
    <col min="14" max="14" width="15.5546875" customWidth="1"/>
    <col min="15" max="15" width="15.88671875" customWidth="1"/>
    <col min="16" max="16" width="11.88671875" customWidth="1"/>
    <col min="17" max="17" width="13.88671875" customWidth="1"/>
    <col min="18" max="18" width="15.33203125" customWidth="1"/>
    <col min="19" max="19" width="10.109375" customWidth="1"/>
    <col min="20" max="20" width="11.33203125" customWidth="1"/>
    <col min="21" max="21" width="14.33203125" bestFit="1" customWidth="1"/>
    <col min="22" max="22" width="18.109375" customWidth="1"/>
    <col min="23" max="23" width="32.44140625" customWidth="1"/>
    <col min="24" max="24" width="16.44140625" customWidth="1"/>
    <col min="25" max="25" width="18.5546875" customWidth="1"/>
    <col min="26" max="26" width="18.6640625" customWidth="1"/>
    <col min="27" max="27" width="21.88671875" customWidth="1"/>
  </cols>
  <sheetData>
    <row r="1" spans="1:29" x14ac:dyDescent="0.3">
      <c r="B1" s="8"/>
      <c r="C1" s="78" t="s">
        <v>30</v>
      </c>
      <c r="D1" s="79"/>
      <c r="E1" s="79"/>
      <c r="F1" s="80"/>
      <c r="G1" s="81" t="s">
        <v>47</v>
      </c>
      <c r="H1" s="82"/>
      <c r="I1" s="82"/>
      <c r="J1" s="82"/>
      <c r="K1" s="82"/>
      <c r="L1" s="82"/>
      <c r="M1" s="82"/>
      <c r="N1" s="82"/>
      <c r="O1" s="82"/>
      <c r="P1" s="82"/>
      <c r="Q1" s="83" t="s">
        <v>64</v>
      </c>
      <c r="R1" s="84"/>
      <c r="S1" s="84"/>
      <c r="T1" s="84"/>
      <c r="U1" s="84"/>
      <c r="V1" s="8"/>
      <c r="X1" s="85" t="s">
        <v>87</v>
      </c>
      <c r="Y1" s="85"/>
      <c r="Z1" s="85"/>
      <c r="AA1" s="85"/>
      <c r="AB1" s="86"/>
      <c r="AC1" s="86"/>
    </row>
    <row r="2" spans="1:29" ht="120.75" customHeight="1" x14ac:dyDescent="0.3">
      <c r="B2" s="13" t="s">
        <v>15</v>
      </c>
      <c r="C2" s="29" t="s">
        <v>31</v>
      </c>
      <c r="D2" s="17" t="s">
        <v>36</v>
      </c>
      <c r="E2" s="17" t="s">
        <v>40</v>
      </c>
      <c r="F2" s="29" t="s">
        <v>97</v>
      </c>
      <c r="G2" s="30" t="s">
        <v>48</v>
      </c>
      <c r="H2" s="30" t="s">
        <v>52</v>
      </c>
      <c r="I2" s="30" t="s">
        <v>56</v>
      </c>
      <c r="J2" s="56" t="s">
        <v>82</v>
      </c>
      <c r="K2" s="56" t="s">
        <v>99</v>
      </c>
      <c r="L2" s="56" t="s">
        <v>100</v>
      </c>
      <c r="M2" s="56" t="s">
        <v>83</v>
      </c>
      <c r="N2" s="56" t="s">
        <v>102</v>
      </c>
      <c r="O2" s="56" t="s">
        <v>84</v>
      </c>
      <c r="P2" s="56" t="s">
        <v>103</v>
      </c>
      <c r="Q2" s="31" t="s">
        <v>65</v>
      </c>
      <c r="R2" s="31" t="s">
        <v>69</v>
      </c>
      <c r="S2" s="31" t="s">
        <v>70</v>
      </c>
      <c r="T2" s="31" t="s">
        <v>71</v>
      </c>
      <c r="U2" s="50" t="s">
        <v>72</v>
      </c>
      <c r="V2" s="32" t="s">
        <v>19</v>
      </c>
      <c r="X2" s="43" t="s">
        <v>99</v>
      </c>
      <c r="Y2" s="43" t="s">
        <v>100</v>
      </c>
      <c r="Z2" s="43" t="s">
        <v>102</v>
      </c>
      <c r="AA2" s="43" t="s">
        <v>103</v>
      </c>
    </row>
    <row r="3" spans="1:29" x14ac:dyDescent="0.3">
      <c r="A3" s="87"/>
      <c r="B3" s="13">
        <v>1</v>
      </c>
      <c r="C3" s="59">
        <f>-F$25*B25</f>
        <v>-32300</v>
      </c>
      <c r="D3" s="59">
        <f>-B26*F26</f>
        <v>-102948</v>
      </c>
      <c r="E3" s="59">
        <f>-B28*F28</f>
        <v>-3000</v>
      </c>
      <c r="F3" s="34">
        <f>-IF($E$50,G50,0)</f>
        <v>0</v>
      </c>
      <c r="G3" s="60">
        <f>-$B$25*$F$29</f>
        <v>-64600</v>
      </c>
      <c r="H3" s="60">
        <f>-($F$38+$F$39+$F$40)/3-IF(E$49,G$49,0)</f>
        <v>-98391.666666666672</v>
      </c>
      <c r="I3" s="60">
        <f>-$B$26*F$33*F$34</f>
        <v>-48728.719999999994</v>
      </c>
      <c r="J3" s="67">
        <f>-IF($E$47,$G$47,0)</f>
        <v>0</v>
      </c>
      <c r="K3" s="67">
        <f ca="1">-X3</f>
        <v>0</v>
      </c>
      <c r="L3" s="67">
        <f ca="1">-Y3</f>
        <v>0</v>
      </c>
      <c r="M3" s="67">
        <f>-IF($E$48,$G$48,0)</f>
        <v>0</v>
      </c>
      <c r="N3" s="67">
        <f ca="1">-Z3</f>
        <v>0</v>
      </c>
      <c r="O3" s="67">
        <f>-IF($E$49,$G$49,0)</f>
        <v>0</v>
      </c>
      <c r="P3" s="67">
        <f ca="1">-AA3</f>
        <v>0</v>
      </c>
      <c r="Q3" s="68">
        <v>0</v>
      </c>
      <c r="R3" s="68">
        <v>0</v>
      </c>
      <c r="S3" s="68">
        <v>0</v>
      </c>
      <c r="T3" s="68">
        <v>0</v>
      </c>
      <c r="U3" s="69">
        <v>0</v>
      </c>
      <c r="V3" s="70">
        <f t="shared" ref="V3:V12" ca="1" si="0">SUM(C3:U3)*(1+$B$30)^B3</f>
        <v>-358367.62794666667</v>
      </c>
      <c r="X3" s="25">
        <f t="shared" ref="X3:X12" ca="1" si="1">IF(RAND() &lt; ($B$47-IF($E$47, $I$47, 0)), $C$47, 0)</f>
        <v>0</v>
      </c>
      <c r="Y3" s="25">
        <f t="shared" ref="Y3:Y12" ca="1" si="2">IF(RAND() &lt; ($B$48-IF($E$48, $I$48, 0)), $C$48, 0)</f>
        <v>0</v>
      </c>
      <c r="Z3" s="25">
        <f t="shared" ref="Z3:Z12" ca="1" si="3">IF(RAND() &lt; ($B$49-IF($E$49, $I$49, 0)), $C$49, 0)</f>
        <v>0</v>
      </c>
      <c r="AA3" s="25">
        <f t="shared" ref="AA3:AA12" ca="1" si="4">IF(RAND() &lt; ($B$50-IF($E$50, $I$50, 0)), $C$50, 0)</f>
        <v>0</v>
      </c>
    </row>
    <row r="4" spans="1:29" x14ac:dyDescent="0.3">
      <c r="A4" s="87"/>
      <c r="B4" s="13">
        <v>2</v>
      </c>
      <c r="C4" s="34">
        <v>0</v>
      </c>
      <c r="D4" s="34">
        <v>0</v>
      </c>
      <c r="E4" s="34">
        <v>0</v>
      </c>
      <c r="F4" s="34">
        <v>0</v>
      </c>
      <c r="G4" s="60">
        <f t="shared" ref="G4:G12" si="5">-$B$25*$F$29</f>
        <v>-64600</v>
      </c>
      <c r="H4" s="60">
        <f t="shared" ref="H4:H12" si="6">-($F$38+$F$39+$F$40)/3-IF(E$49,G$49,0)</f>
        <v>-98391.666666666672</v>
      </c>
      <c r="I4" s="60">
        <f t="shared" ref="I4:I12" si="7">-$B$26*F$33*F$34</f>
        <v>-48728.719999999994</v>
      </c>
      <c r="J4" s="67">
        <f t="shared" ref="J4:J12" si="8">-IF($E$47,$G$47,0)</f>
        <v>0</v>
      </c>
      <c r="K4" s="67">
        <f t="shared" ref="K4:K12" ca="1" si="9">-X4</f>
        <v>-45000</v>
      </c>
      <c r="L4" s="67">
        <f t="shared" ref="L4:L12" ca="1" si="10">-Y4</f>
        <v>0</v>
      </c>
      <c r="M4" s="67">
        <f t="shared" ref="M4:M12" si="11">-IF($E$48,$G$48,0)</f>
        <v>0</v>
      </c>
      <c r="N4" s="67">
        <f t="shared" ref="N4:N12" ca="1" si="12">-Z4</f>
        <v>0</v>
      </c>
      <c r="O4" s="67">
        <f t="shared" ref="O4:O12" si="13">-IF($E$49,$G$49,0)</f>
        <v>0</v>
      </c>
      <c r="P4" s="67">
        <f t="shared" ref="P4:P12" ca="1" si="14">-AA4</f>
        <v>0</v>
      </c>
      <c r="Q4" s="71">
        <f t="shared" ref="Q4:Q12" si="15">F$30*5*8*365</f>
        <v>511000</v>
      </c>
      <c r="R4" s="71">
        <f t="shared" ref="R4:R12" si="16">F$30*365*24*(1-0.99)</f>
        <v>3066.0000000000027</v>
      </c>
      <c r="S4" s="71">
        <f t="shared" ref="S4:S12" si="17">F$35*F$31</f>
        <v>1000</v>
      </c>
      <c r="T4" s="71">
        <f t="shared" ref="T4:T12" si="18">F$36*F$32</f>
        <v>2767.53</v>
      </c>
      <c r="U4" s="72">
        <f t="shared" ref="U4:U12" si="19">(1-F$37)*F$30*24*365</f>
        <v>245280</v>
      </c>
      <c r="V4" s="73">
        <f t="shared" ca="1" si="0"/>
        <v>530991.69666389329</v>
      </c>
      <c r="X4" s="25">
        <f t="shared" ca="1" si="1"/>
        <v>45000</v>
      </c>
      <c r="Y4" s="25">
        <f t="shared" ca="1" si="2"/>
        <v>0</v>
      </c>
      <c r="Z4" s="25">
        <f t="shared" ca="1" si="3"/>
        <v>0</v>
      </c>
      <c r="AA4" s="25">
        <f t="shared" ca="1" si="4"/>
        <v>0</v>
      </c>
    </row>
    <row r="5" spans="1:29" x14ac:dyDescent="0.3">
      <c r="A5" s="87"/>
      <c r="B5" s="13">
        <v>3</v>
      </c>
      <c r="C5" s="34">
        <v>0</v>
      </c>
      <c r="D5" s="34">
        <v>0</v>
      </c>
      <c r="E5" s="34">
        <v>0</v>
      </c>
      <c r="F5" s="34">
        <v>0</v>
      </c>
      <c r="G5" s="60">
        <f t="shared" si="5"/>
        <v>-64600</v>
      </c>
      <c r="H5" s="60">
        <f>-($F$38+$F$39+$F$40)/3-IF(E$49,G$49,0)</f>
        <v>-98391.666666666672</v>
      </c>
      <c r="I5" s="60">
        <f t="shared" si="7"/>
        <v>-48728.719999999994</v>
      </c>
      <c r="J5" s="67">
        <f t="shared" si="8"/>
        <v>0</v>
      </c>
      <c r="K5" s="67">
        <f t="shared" ca="1" si="9"/>
        <v>-45000</v>
      </c>
      <c r="L5" s="67">
        <f t="shared" ca="1" si="10"/>
        <v>0</v>
      </c>
      <c r="M5" s="67">
        <f t="shared" si="11"/>
        <v>0</v>
      </c>
      <c r="N5" s="67">
        <f t="shared" ca="1" si="12"/>
        <v>-200000</v>
      </c>
      <c r="O5" s="67">
        <f t="shared" si="13"/>
        <v>0</v>
      </c>
      <c r="P5" s="67">
        <f t="shared" ca="1" si="14"/>
        <v>0</v>
      </c>
      <c r="Q5" s="71">
        <f t="shared" si="15"/>
        <v>511000</v>
      </c>
      <c r="R5" s="71">
        <f t="shared" si="16"/>
        <v>3066.0000000000027</v>
      </c>
      <c r="S5" s="71">
        <f t="shared" si="17"/>
        <v>1000</v>
      </c>
      <c r="T5" s="71">
        <f t="shared" si="18"/>
        <v>2767.53</v>
      </c>
      <c r="U5" s="72">
        <f t="shared" si="19"/>
        <v>245280</v>
      </c>
      <c r="V5" s="73">
        <f t="shared" ca="1" si="0"/>
        <v>328987.13258382678</v>
      </c>
      <c r="X5" s="25">
        <f t="shared" ca="1" si="1"/>
        <v>45000</v>
      </c>
      <c r="Y5" s="25">
        <f t="shared" ca="1" si="2"/>
        <v>0</v>
      </c>
      <c r="Z5" s="25">
        <f t="shared" ca="1" si="3"/>
        <v>200000</v>
      </c>
      <c r="AA5" s="25">
        <f t="shared" ca="1" si="4"/>
        <v>0</v>
      </c>
    </row>
    <row r="6" spans="1:29" x14ac:dyDescent="0.3">
      <c r="A6" s="87"/>
      <c r="B6" s="13">
        <v>4</v>
      </c>
      <c r="C6" s="34">
        <v>0</v>
      </c>
      <c r="D6" s="34">
        <v>0</v>
      </c>
      <c r="E6" s="34">
        <v>0</v>
      </c>
      <c r="F6" s="34">
        <v>0</v>
      </c>
      <c r="G6" s="60">
        <f t="shared" si="5"/>
        <v>-64600</v>
      </c>
      <c r="H6" s="60">
        <f t="shared" si="6"/>
        <v>-98391.666666666672</v>
      </c>
      <c r="I6" s="60">
        <f t="shared" si="7"/>
        <v>-48728.719999999994</v>
      </c>
      <c r="J6" s="67">
        <f t="shared" si="8"/>
        <v>0</v>
      </c>
      <c r="K6" s="67">
        <f t="shared" ca="1" si="9"/>
        <v>-45000</v>
      </c>
      <c r="L6" s="67">
        <f t="shared" ca="1" si="10"/>
        <v>0</v>
      </c>
      <c r="M6" s="67">
        <f t="shared" si="11"/>
        <v>0</v>
      </c>
      <c r="N6" s="67">
        <f t="shared" ca="1" si="12"/>
        <v>0</v>
      </c>
      <c r="O6" s="67">
        <f t="shared" si="13"/>
        <v>0</v>
      </c>
      <c r="P6" s="67">
        <f t="shared" ca="1" si="14"/>
        <v>0</v>
      </c>
      <c r="Q6" s="71">
        <f t="shared" si="15"/>
        <v>511000</v>
      </c>
      <c r="R6" s="71">
        <f t="shared" si="16"/>
        <v>3066.0000000000027</v>
      </c>
      <c r="S6" s="71">
        <f t="shared" si="17"/>
        <v>1000</v>
      </c>
      <c r="T6" s="71">
        <f t="shared" si="18"/>
        <v>2767.53</v>
      </c>
      <c r="U6" s="72">
        <f t="shared" si="19"/>
        <v>245280</v>
      </c>
      <c r="V6" s="73">
        <f t="shared" ca="1" si="0"/>
        <v>556785.14932103863</v>
      </c>
      <c r="X6" s="25">
        <f t="shared" ca="1" si="1"/>
        <v>45000</v>
      </c>
      <c r="Y6" s="25">
        <f t="shared" ca="1" si="2"/>
        <v>0</v>
      </c>
      <c r="Z6" s="25">
        <f t="shared" ca="1" si="3"/>
        <v>0</v>
      </c>
      <c r="AA6" s="25">
        <f t="shared" ca="1" si="4"/>
        <v>0</v>
      </c>
    </row>
    <row r="7" spans="1:29" x14ac:dyDescent="0.3">
      <c r="A7" s="87"/>
      <c r="B7" s="13">
        <v>5</v>
      </c>
      <c r="C7" s="34">
        <v>0</v>
      </c>
      <c r="D7" s="34">
        <v>0</v>
      </c>
      <c r="E7" s="34">
        <v>0</v>
      </c>
      <c r="F7" s="34">
        <v>0</v>
      </c>
      <c r="G7" s="60">
        <f t="shared" si="5"/>
        <v>-64600</v>
      </c>
      <c r="H7" s="60">
        <f t="shared" si="6"/>
        <v>-98391.666666666672</v>
      </c>
      <c r="I7" s="60">
        <f t="shared" si="7"/>
        <v>-48728.719999999994</v>
      </c>
      <c r="J7" s="67">
        <f t="shared" si="8"/>
        <v>0</v>
      </c>
      <c r="K7" s="67">
        <f t="shared" ca="1" si="9"/>
        <v>0</v>
      </c>
      <c r="L7" s="67">
        <f t="shared" ca="1" si="10"/>
        <v>0</v>
      </c>
      <c r="M7" s="67">
        <f t="shared" si="11"/>
        <v>0</v>
      </c>
      <c r="N7" s="67">
        <f t="shared" ca="1" si="12"/>
        <v>-200000</v>
      </c>
      <c r="O7" s="67">
        <f t="shared" si="13"/>
        <v>0</v>
      </c>
      <c r="P7" s="67">
        <f t="shared" ca="1" si="14"/>
        <v>0</v>
      </c>
      <c r="Q7" s="71">
        <f t="shared" si="15"/>
        <v>511000</v>
      </c>
      <c r="R7" s="71">
        <f t="shared" si="16"/>
        <v>3066.0000000000027</v>
      </c>
      <c r="S7" s="71">
        <f t="shared" si="17"/>
        <v>1000</v>
      </c>
      <c r="T7" s="71">
        <f t="shared" si="18"/>
        <v>2767.53</v>
      </c>
      <c r="U7" s="72">
        <f t="shared" si="19"/>
        <v>245280</v>
      </c>
      <c r="V7" s="73">
        <f t="shared" ca="1" si="0"/>
        <v>395633.50734413683</v>
      </c>
      <c r="X7" s="25">
        <f t="shared" ca="1" si="1"/>
        <v>0</v>
      </c>
      <c r="Y7" s="25">
        <f t="shared" ca="1" si="2"/>
        <v>0</v>
      </c>
      <c r="Z7" s="25">
        <f t="shared" ca="1" si="3"/>
        <v>200000</v>
      </c>
      <c r="AA7" s="25">
        <f t="shared" ca="1" si="4"/>
        <v>0</v>
      </c>
    </row>
    <row r="8" spans="1:29" x14ac:dyDescent="0.3">
      <c r="B8" s="13">
        <v>6</v>
      </c>
      <c r="C8" s="34">
        <v>0</v>
      </c>
      <c r="D8" s="34">
        <v>0</v>
      </c>
      <c r="E8" s="34">
        <v>0</v>
      </c>
      <c r="F8" s="34">
        <v>0</v>
      </c>
      <c r="G8" s="60">
        <f t="shared" si="5"/>
        <v>-64600</v>
      </c>
      <c r="H8" s="60">
        <f t="shared" si="6"/>
        <v>-98391.666666666672</v>
      </c>
      <c r="I8" s="60">
        <f t="shared" si="7"/>
        <v>-48728.719999999994</v>
      </c>
      <c r="J8" s="67">
        <f t="shared" si="8"/>
        <v>0</v>
      </c>
      <c r="K8" s="67">
        <f t="shared" ca="1" si="9"/>
        <v>-45000</v>
      </c>
      <c r="L8" s="67">
        <f t="shared" ca="1" si="10"/>
        <v>0</v>
      </c>
      <c r="M8" s="67">
        <f t="shared" si="11"/>
        <v>0</v>
      </c>
      <c r="N8" s="67">
        <f t="shared" ca="1" si="12"/>
        <v>-200000</v>
      </c>
      <c r="O8" s="67">
        <f t="shared" si="13"/>
        <v>0</v>
      </c>
      <c r="P8" s="67">
        <f t="shared" ca="1" si="14"/>
        <v>0</v>
      </c>
      <c r="Q8" s="71">
        <f t="shared" si="15"/>
        <v>511000</v>
      </c>
      <c r="R8" s="71">
        <f t="shared" si="16"/>
        <v>3066.0000000000027</v>
      </c>
      <c r="S8" s="71">
        <f t="shared" si="17"/>
        <v>1000</v>
      </c>
      <c r="T8" s="71">
        <f t="shared" si="18"/>
        <v>2767.53</v>
      </c>
      <c r="U8" s="72">
        <f t="shared" si="19"/>
        <v>245280</v>
      </c>
      <c r="V8" s="73">
        <f t="shared" ca="1" si="0"/>
        <v>353247.24381308793</v>
      </c>
      <c r="X8" s="25">
        <f t="shared" ca="1" si="1"/>
        <v>45000</v>
      </c>
      <c r="Y8" s="25">
        <f t="shared" ca="1" si="2"/>
        <v>0</v>
      </c>
      <c r="Z8" s="25">
        <f t="shared" ca="1" si="3"/>
        <v>200000</v>
      </c>
      <c r="AA8" s="25">
        <f t="shared" ca="1" si="4"/>
        <v>0</v>
      </c>
    </row>
    <row r="9" spans="1:29" x14ac:dyDescent="0.3">
      <c r="B9" s="13">
        <v>7</v>
      </c>
      <c r="C9" s="34">
        <v>0</v>
      </c>
      <c r="D9" s="34">
        <v>0</v>
      </c>
      <c r="E9" s="34">
        <v>0</v>
      </c>
      <c r="F9" s="34">
        <v>0</v>
      </c>
      <c r="G9" s="60">
        <f t="shared" si="5"/>
        <v>-64600</v>
      </c>
      <c r="H9" s="60">
        <f t="shared" si="6"/>
        <v>-98391.666666666672</v>
      </c>
      <c r="I9" s="60">
        <f t="shared" si="7"/>
        <v>-48728.719999999994</v>
      </c>
      <c r="J9" s="67">
        <f t="shared" si="8"/>
        <v>0</v>
      </c>
      <c r="K9" s="67">
        <f t="shared" ca="1" si="9"/>
        <v>-45000</v>
      </c>
      <c r="L9" s="67">
        <f t="shared" ca="1" si="10"/>
        <v>0</v>
      </c>
      <c r="M9" s="67">
        <f t="shared" si="11"/>
        <v>0</v>
      </c>
      <c r="N9" s="67">
        <f t="shared" ca="1" si="12"/>
        <v>0</v>
      </c>
      <c r="O9" s="67">
        <f t="shared" si="13"/>
        <v>0</v>
      </c>
      <c r="P9" s="67">
        <f t="shared" ca="1" si="14"/>
        <v>0</v>
      </c>
      <c r="Q9" s="71">
        <f t="shared" si="15"/>
        <v>511000</v>
      </c>
      <c r="R9" s="71">
        <f t="shared" si="16"/>
        <v>3066.0000000000027</v>
      </c>
      <c r="S9" s="71">
        <f t="shared" si="17"/>
        <v>1000</v>
      </c>
      <c r="T9" s="71">
        <f t="shared" si="18"/>
        <v>2767.53</v>
      </c>
      <c r="U9" s="72">
        <f t="shared" si="19"/>
        <v>245280</v>
      </c>
      <c r="V9" s="73">
        <f t="shared" ca="1" si="0"/>
        <v>597843.50180808443</v>
      </c>
      <c r="X9" s="25">
        <f t="shared" ca="1" si="1"/>
        <v>45000</v>
      </c>
      <c r="Y9" s="25">
        <f t="shared" ca="1" si="2"/>
        <v>0</v>
      </c>
      <c r="Z9" s="25">
        <f t="shared" ca="1" si="3"/>
        <v>0</v>
      </c>
      <c r="AA9" s="25">
        <f t="shared" ca="1" si="4"/>
        <v>0</v>
      </c>
    </row>
    <row r="10" spans="1:29" x14ac:dyDescent="0.3">
      <c r="B10" s="13">
        <v>8</v>
      </c>
      <c r="C10" s="34">
        <v>0</v>
      </c>
      <c r="D10" s="34">
        <v>0</v>
      </c>
      <c r="E10" s="34">
        <v>0</v>
      </c>
      <c r="F10" s="34">
        <v>0</v>
      </c>
      <c r="G10" s="60">
        <f t="shared" si="5"/>
        <v>-64600</v>
      </c>
      <c r="H10" s="60">
        <f t="shared" si="6"/>
        <v>-98391.666666666672</v>
      </c>
      <c r="I10" s="60">
        <f t="shared" si="7"/>
        <v>-48728.719999999994</v>
      </c>
      <c r="J10" s="67">
        <f t="shared" si="8"/>
        <v>0</v>
      </c>
      <c r="K10" s="67">
        <f t="shared" ca="1" si="9"/>
        <v>0</v>
      </c>
      <c r="L10" s="67">
        <f t="shared" ca="1" si="10"/>
        <v>0</v>
      </c>
      <c r="M10" s="67">
        <f t="shared" si="11"/>
        <v>0</v>
      </c>
      <c r="N10" s="67">
        <f t="shared" ca="1" si="12"/>
        <v>-200000</v>
      </c>
      <c r="O10" s="67">
        <f t="shared" si="13"/>
        <v>0</v>
      </c>
      <c r="P10" s="67">
        <f t="shared" ca="1" si="14"/>
        <v>0</v>
      </c>
      <c r="Q10" s="71">
        <f t="shared" si="15"/>
        <v>511000</v>
      </c>
      <c r="R10" s="71">
        <f t="shared" si="16"/>
        <v>3066.0000000000027</v>
      </c>
      <c r="S10" s="71">
        <f t="shared" si="17"/>
        <v>1000</v>
      </c>
      <c r="T10" s="71">
        <f t="shared" si="18"/>
        <v>2767.53</v>
      </c>
      <c r="U10" s="72">
        <f t="shared" si="19"/>
        <v>245280</v>
      </c>
      <c r="V10" s="73">
        <f t="shared" ca="1" si="0"/>
        <v>424808.24381121079</v>
      </c>
      <c r="X10" s="25">
        <f t="shared" ca="1" si="1"/>
        <v>0</v>
      </c>
      <c r="Y10" s="25">
        <f t="shared" ca="1" si="2"/>
        <v>0</v>
      </c>
      <c r="Z10" s="25">
        <f t="shared" ca="1" si="3"/>
        <v>200000</v>
      </c>
      <c r="AA10" s="25">
        <f t="shared" ca="1" si="4"/>
        <v>0</v>
      </c>
    </row>
    <row r="11" spans="1:29" x14ac:dyDescent="0.3">
      <c r="B11" s="13">
        <v>9</v>
      </c>
      <c r="C11" s="34">
        <v>0</v>
      </c>
      <c r="D11" s="34">
        <v>0</v>
      </c>
      <c r="E11" s="34">
        <v>0</v>
      </c>
      <c r="F11" s="34">
        <v>0</v>
      </c>
      <c r="G11" s="60">
        <f t="shared" si="5"/>
        <v>-64600</v>
      </c>
      <c r="H11" s="60">
        <f t="shared" si="6"/>
        <v>-98391.666666666672</v>
      </c>
      <c r="I11" s="60">
        <f t="shared" si="7"/>
        <v>-48728.719999999994</v>
      </c>
      <c r="J11" s="67">
        <f t="shared" si="8"/>
        <v>0</v>
      </c>
      <c r="K11" s="67">
        <f t="shared" ca="1" si="9"/>
        <v>0</v>
      </c>
      <c r="L11" s="67">
        <f t="shared" ca="1" si="10"/>
        <v>0</v>
      </c>
      <c r="M11" s="67">
        <f t="shared" si="11"/>
        <v>0</v>
      </c>
      <c r="N11" s="67">
        <f t="shared" ca="1" si="12"/>
        <v>-200000</v>
      </c>
      <c r="O11" s="67">
        <f t="shared" si="13"/>
        <v>0</v>
      </c>
      <c r="P11" s="67">
        <f t="shared" ca="1" si="14"/>
        <v>0</v>
      </c>
      <c r="Q11" s="71">
        <f t="shared" si="15"/>
        <v>511000</v>
      </c>
      <c r="R11" s="71">
        <f t="shared" si="16"/>
        <v>3066.0000000000027</v>
      </c>
      <c r="S11" s="71">
        <f t="shared" si="17"/>
        <v>1000</v>
      </c>
      <c r="T11" s="71">
        <f t="shared" si="18"/>
        <v>2767.53</v>
      </c>
      <c r="U11" s="72">
        <f t="shared" si="19"/>
        <v>245280</v>
      </c>
      <c r="V11" s="73">
        <f t="shared" ca="1" si="0"/>
        <v>435003.64166267985</v>
      </c>
      <c r="X11" s="25">
        <f t="shared" ca="1" si="1"/>
        <v>0</v>
      </c>
      <c r="Y11" s="25">
        <f t="shared" ca="1" si="2"/>
        <v>0</v>
      </c>
      <c r="Z11" s="25">
        <f t="shared" ca="1" si="3"/>
        <v>200000</v>
      </c>
      <c r="AA11" s="25">
        <f t="shared" ca="1" si="4"/>
        <v>0</v>
      </c>
    </row>
    <row r="12" spans="1:29" x14ac:dyDescent="0.3">
      <c r="B12" s="13">
        <v>10</v>
      </c>
      <c r="C12" s="34">
        <v>0</v>
      </c>
      <c r="D12" s="34">
        <v>0</v>
      </c>
      <c r="E12" s="34">
        <v>0</v>
      </c>
      <c r="F12" s="34">
        <v>0</v>
      </c>
      <c r="G12" s="60">
        <f t="shared" si="5"/>
        <v>-64600</v>
      </c>
      <c r="H12" s="60">
        <f t="shared" si="6"/>
        <v>-98391.666666666672</v>
      </c>
      <c r="I12" s="60">
        <f t="shared" si="7"/>
        <v>-48728.719999999994</v>
      </c>
      <c r="J12" s="67">
        <f t="shared" si="8"/>
        <v>0</v>
      </c>
      <c r="K12" s="67">
        <f t="shared" ca="1" si="9"/>
        <v>0</v>
      </c>
      <c r="L12" s="67">
        <f t="shared" ca="1" si="10"/>
        <v>0</v>
      </c>
      <c r="M12" s="67">
        <f t="shared" si="11"/>
        <v>0</v>
      </c>
      <c r="N12" s="67">
        <f t="shared" ca="1" si="12"/>
        <v>-200000</v>
      </c>
      <c r="O12" s="67">
        <f t="shared" si="13"/>
        <v>0</v>
      </c>
      <c r="P12" s="67">
        <f t="shared" ca="1" si="14"/>
        <v>-52500</v>
      </c>
      <c r="Q12" s="71">
        <f t="shared" si="15"/>
        <v>511000</v>
      </c>
      <c r="R12" s="71">
        <f t="shared" si="16"/>
        <v>3066.0000000000027</v>
      </c>
      <c r="S12" s="71">
        <f t="shared" si="17"/>
        <v>1000</v>
      </c>
      <c r="T12" s="71">
        <f t="shared" si="18"/>
        <v>2767.53</v>
      </c>
      <c r="U12" s="72">
        <f t="shared" si="19"/>
        <v>245280</v>
      </c>
      <c r="V12" s="73">
        <f t="shared" ca="1" si="0"/>
        <v>378892.07255060214</v>
      </c>
      <c r="X12" s="25">
        <f t="shared" ca="1" si="1"/>
        <v>0</v>
      </c>
      <c r="Y12" s="25">
        <f t="shared" ca="1" si="2"/>
        <v>0</v>
      </c>
      <c r="Z12" s="25">
        <f t="shared" ca="1" si="3"/>
        <v>200000</v>
      </c>
      <c r="AA12" s="25">
        <f t="shared" ca="1" si="4"/>
        <v>52500</v>
      </c>
    </row>
    <row r="13" spans="1:29" x14ac:dyDescent="0.3">
      <c r="U13" s="52" t="s">
        <v>20</v>
      </c>
      <c r="V13" s="27">
        <f ca="1">NPV($B$31,V3:V12)</f>
        <v>2388422.5225250642</v>
      </c>
    </row>
    <row r="14" spans="1:29" x14ac:dyDescent="0.3">
      <c r="U14" s="51" t="s">
        <v>21</v>
      </c>
      <c r="V14" s="28">
        <f ca="1">-PMT($B$31,COUNTA(V3:V12),$V$13)</f>
        <v>340057.63421491167</v>
      </c>
    </row>
    <row r="16" spans="1:29" x14ac:dyDescent="0.3">
      <c r="U16" t="s">
        <v>93</v>
      </c>
      <c r="V16" s="64">
        <v>3502083.5632532728</v>
      </c>
    </row>
    <row r="17" spans="1:22" x14ac:dyDescent="0.3">
      <c r="I17" s="33"/>
      <c r="U17" s="33" t="s">
        <v>94</v>
      </c>
      <c r="V17" s="64">
        <v>498617.91207855201</v>
      </c>
    </row>
    <row r="24" spans="1:22" x14ac:dyDescent="0.3">
      <c r="A24" s="13" t="s">
        <v>75</v>
      </c>
      <c r="B24" s="8" t="s">
        <v>12</v>
      </c>
      <c r="C24" s="8" t="s">
        <v>104</v>
      </c>
      <c r="E24" s="13" t="s">
        <v>24</v>
      </c>
      <c r="F24" s="8"/>
      <c r="G24" s="8"/>
    </row>
    <row r="25" spans="1:22" x14ac:dyDescent="0.3">
      <c r="A25" s="8" t="s">
        <v>26</v>
      </c>
      <c r="B25" s="8">
        <v>323</v>
      </c>
      <c r="C25" s="8" t="s">
        <v>27</v>
      </c>
      <c r="E25" s="8" t="s">
        <v>28</v>
      </c>
      <c r="F25" s="8">
        <v>100</v>
      </c>
      <c r="G25" s="8" t="s">
        <v>29</v>
      </c>
    </row>
    <row r="26" spans="1:22" x14ac:dyDescent="0.3">
      <c r="A26" s="8" t="s">
        <v>32</v>
      </c>
      <c r="B26" s="8">
        <v>3431.6</v>
      </c>
      <c r="C26" s="8" t="s">
        <v>33</v>
      </c>
      <c r="E26" s="8" t="s">
        <v>34</v>
      </c>
      <c r="F26" s="8">
        <v>30</v>
      </c>
      <c r="G26" s="8" t="s">
        <v>35</v>
      </c>
    </row>
    <row r="27" spans="1:22" x14ac:dyDescent="0.3">
      <c r="A27" s="8" t="s">
        <v>37</v>
      </c>
      <c r="B27" s="8">
        <v>149.53700000000001</v>
      </c>
      <c r="C27" s="8" t="s">
        <v>38</v>
      </c>
      <c r="E27" s="8" t="s">
        <v>39</v>
      </c>
      <c r="F27" s="8">
        <v>35.875</v>
      </c>
      <c r="G27" s="8" t="s">
        <v>38</v>
      </c>
    </row>
    <row r="28" spans="1:22" x14ac:dyDescent="0.3">
      <c r="A28" s="8" t="s">
        <v>41</v>
      </c>
      <c r="B28" s="8">
        <f>_xlfn.CEILING.MATH(B27/F27)</f>
        <v>5</v>
      </c>
      <c r="C28" s="8" t="s">
        <v>27</v>
      </c>
      <c r="E28" s="8" t="s">
        <v>42</v>
      </c>
      <c r="F28" s="8">
        <v>600</v>
      </c>
      <c r="G28" s="8" t="s">
        <v>43</v>
      </c>
    </row>
    <row r="29" spans="1:22" x14ac:dyDescent="0.3">
      <c r="E29" s="8" t="s">
        <v>46</v>
      </c>
      <c r="F29" s="8">
        <v>200</v>
      </c>
      <c r="G29" s="8" t="s">
        <v>29</v>
      </c>
    </row>
    <row r="30" spans="1:22" x14ac:dyDescent="0.3">
      <c r="A30" s="8" t="s">
        <v>13</v>
      </c>
      <c r="B30" s="9">
        <v>2.4E-2</v>
      </c>
      <c r="E30" s="8" t="s">
        <v>50</v>
      </c>
      <c r="F30" s="8">
        <v>35</v>
      </c>
      <c r="G30" s="8" t="s">
        <v>51</v>
      </c>
    </row>
    <row r="31" spans="1:22" x14ac:dyDescent="0.3">
      <c r="A31" s="8" t="s">
        <v>14</v>
      </c>
      <c r="B31" s="10">
        <v>7.0000000000000007E-2</v>
      </c>
      <c r="E31" s="8" t="s">
        <v>55</v>
      </c>
      <c r="F31" s="8">
        <v>0.1</v>
      </c>
      <c r="G31" s="8" t="s">
        <v>54</v>
      </c>
    </row>
    <row r="32" spans="1:22" x14ac:dyDescent="0.3">
      <c r="E32" s="8" t="s">
        <v>59</v>
      </c>
      <c r="F32" s="8">
        <v>0.01</v>
      </c>
      <c r="G32" s="8" t="s">
        <v>60</v>
      </c>
    </row>
    <row r="33" spans="1:10" x14ac:dyDescent="0.3">
      <c r="E33" s="8" t="s">
        <v>62</v>
      </c>
      <c r="F33" s="8">
        <v>100</v>
      </c>
      <c r="G33" s="8" t="s">
        <v>63</v>
      </c>
    </row>
    <row r="34" spans="1:10" x14ac:dyDescent="0.3">
      <c r="E34" s="8" t="s">
        <v>67</v>
      </c>
      <c r="F34" s="8">
        <v>0.14199999999999999</v>
      </c>
      <c r="G34" s="8" t="s">
        <v>68</v>
      </c>
    </row>
    <row r="35" spans="1:10" x14ac:dyDescent="0.3">
      <c r="E35" s="8" t="s">
        <v>44</v>
      </c>
      <c r="F35" s="8">
        <v>10000</v>
      </c>
      <c r="G35" s="8" t="s">
        <v>45</v>
      </c>
    </row>
    <row r="36" spans="1:10" x14ac:dyDescent="0.3">
      <c r="E36" s="8" t="s">
        <v>49</v>
      </c>
      <c r="F36" s="8">
        <v>276753</v>
      </c>
      <c r="G36" s="8" t="s">
        <v>45</v>
      </c>
    </row>
    <row r="37" spans="1:10" x14ac:dyDescent="0.3">
      <c r="E37" s="8" t="s">
        <v>53</v>
      </c>
      <c r="F37" s="8">
        <v>0.2</v>
      </c>
      <c r="G37" s="8" t="s">
        <v>54</v>
      </c>
    </row>
    <row r="38" spans="1:10" x14ac:dyDescent="0.3">
      <c r="E38" s="8" t="s">
        <v>57</v>
      </c>
      <c r="F38" s="8">
        <v>127224</v>
      </c>
      <c r="G38" s="8" t="s">
        <v>58</v>
      </c>
    </row>
    <row r="39" spans="1:10" x14ac:dyDescent="0.3">
      <c r="A39" s="35"/>
      <c r="B39" s="36"/>
      <c r="C39" s="37"/>
      <c r="E39" s="8" t="s">
        <v>61</v>
      </c>
      <c r="F39" s="8">
        <v>90883</v>
      </c>
      <c r="G39" s="8" t="s">
        <v>58</v>
      </c>
    </row>
    <row r="40" spans="1:10" x14ac:dyDescent="0.3">
      <c r="E40" s="8" t="s">
        <v>66</v>
      </c>
      <c r="F40" s="8">
        <v>77068</v>
      </c>
      <c r="G40" s="8" t="s">
        <v>58</v>
      </c>
    </row>
    <row r="46" spans="1:10" x14ac:dyDescent="0.3">
      <c r="A46" s="38" t="s">
        <v>77</v>
      </c>
      <c r="B46" s="38" t="s">
        <v>96</v>
      </c>
      <c r="C46" s="40" t="s">
        <v>76</v>
      </c>
      <c r="E46" s="54" t="s">
        <v>78</v>
      </c>
      <c r="F46" s="54" t="s">
        <v>79</v>
      </c>
      <c r="G46" s="54" t="s">
        <v>80</v>
      </c>
      <c r="H46" s="54"/>
      <c r="I46" s="54" t="s">
        <v>81</v>
      </c>
      <c r="J46" s="54"/>
    </row>
    <row r="47" spans="1:10" ht="43.2" x14ac:dyDescent="0.3">
      <c r="A47" s="44" t="s">
        <v>5</v>
      </c>
      <c r="B47" s="39">
        <v>0.75</v>
      </c>
      <c r="C47" s="45">
        <v>45000</v>
      </c>
      <c r="E47" s="49">
        <v>0</v>
      </c>
      <c r="F47" s="43" t="s">
        <v>82</v>
      </c>
      <c r="G47" s="57">
        <v>6000</v>
      </c>
      <c r="H47" s="49" t="s">
        <v>47</v>
      </c>
      <c r="I47" s="55">
        <v>0.35</v>
      </c>
      <c r="J47" s="43" t="s">
        <v>86</v>
      </c>
    </row>
    <row r="48" spans="1:10" ht="115.2" x14ac:dyDescent="0.3">
      <c r="A48" s="44" t="s">
        <v>8</v>
      </c>
      <c r="B48" s="39">
        <v>0.02</v>
      </c>
      <c r="C48" s="46">
        <v>40000</v>
      </c>
      <c r="E48" s="49">
        <v>0</v>
      </c>
      <c r="F48" s="53" t="s">
        <v>83</v>
      </c>
      <c r="G48" s="58">
        <v>40000</v>
      </c>
      <c r="H48" s="49" t="s">
        <v>47</v>
      </c>
      <c r="I48" s="55">
        <v>0.02</v>
      </c>
      <c r="J48" s="43" t="s">
        <v>101</v>
      </c>
    </row>
    <row r="49" spans="1:10" ht="43.2" x14ac:dyDescent="0.3">
      <c r="A49" s="47" t="s">
        <v>3</v>
      </c>
      <c r="B49" s="39">
        <v>0.5</v>
      </c>
      <c r="C49" s="48">
        <v>200000</v>
      </c>
      <c r="E49" s="49">
        <v>0</v>
      </c>
      <c r="F49" s="43" t="s">
        <v>84</v>
      </c>
      <c r="G49" s="58">
        <v>104224</v>
      </c>
      <c r="H49" s="49" t="s">
        <v>47</v>
      </c>
      <c r="I49" s="55">
        <v>0.25</v>
      </c>
      <c r="J49" s="49" t="s">
        <v>85</v>
      </c>
    </row>
    <row r="50" spans="1:10" ht="43.2" x14ac:dyDescent="0.3">
      <c r="A50" s="2" t="s">
        <v>95</v>
      </c>
      <c r="B50" s="74">
        <v>0.13</v>
      </c>
      <c r="C50" s="48">
        <v>52500</v>
      </c>
      <c r="E50" s="49">
        <v>0</v>
      </c>
      <c r="F50" s="43" t="s">
        <v>97</v>
      </c>
      <c r="G50" s="58">
        <v>138248</v>
      </c>
      <c r="H50" s="49" t="s">
        <v>106</v>
      </c>
      <c r="I50" s="75">
        <v>0.11310000000000001</v>
      </c>
      <c r="J50" s="49" t="s">
        <v>98</v>
      </c>
    </row>
    <row r="52" spans="1:10" x14ac:dyDescent="0.3">
      <c r="A52" t="s">
        <v>105</v>
      </c>
    </row>
  </sheetData>
  <mergeCells count="5">
    <mergeCell ref="C1:F1"/>
    <mergeCell ref="G1:P1"/>
    <mergeCell ref="Q1:U1"/>
    <mergeCell ref="X1:AC1"/>
    <mergeCell ref="A3:A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9106-0CB4-4DDC-B063-413E5061DA72}">
  <dimension ref="A1:AF169"/>
  <sheetViews>
    <sheetView tabSelected="1" zoomScale="67" zoomScaleNormal="61" workbookViewId="0">
      <selection activeCell="B14" sqref="B14"/>
    </sheetView>
  </sheetViews>
  <sheetFormatPr defaultRowHeight="14.4" x14ac:dyDescent="0.3"/>
  <cols>
    <col min="1" max="1" width="31.44140625" bestFit="1" customWidth="1"/>
    <col min="2" max="2" width="25.44140625" customWidth="1"/>
    <col min="3" max="3" width="14.6640625" customWidth="1"/>
    <col min="4" max="4" width="10.44140625" bestFit="1" customWidth="1"/>
    <col min="5" max="5" width="32" bestFit="1" customWidth="1"/>
    <col min="6" max="6" width="12" bestFit="1" customWidth="1"/>
    <col min="7" max="7" width="20.44140625" bestFit="1" customWidth="1"/>
    <col min="8" max="8" width="20.5546875" customWidth="1"/>
    <col min="9" max="9" width="13.6640625" bestFit="1" customWidth="1"/>
    <col min="10" max="10" width="4.6640625" bestFit="1" customWidth="1"/>
    <col min="11" max="11" width="31.6640625" customWidth="1"/>
    <col min="12" max="12" width="15.5546875" customWidth="1"/>
    <col min="13" max="13" width="20.6640625" customWidth="1"/>
    <col min="14" max="14" width="30.88671875" bestFit="1" customWidth="1"/>
    <col min="15" max="15" width="7" bestFit="1" customWidth="1"/>
    <col min="16" max="16" width="17.33203125" bestFit="1" customWidth="1"/>
    <col min="25" max="26" width="11.6640625" bestFit="1" customWidth="1"/>
    <col min="27" max="27" width="21.6640625" bestFit="1" customWidth="1"/>
    <col min="28" max="28" width="21.109375" bestFit="1" customWidth="1"/>
    <col min="32" max="32" width="12.6640625" bestFit="1" customWidth="1"/>
  </cols>
  <sheetData>
    <row r="1" spans="1:32" x14ac:dyDescent="0.3">
      <c r="A1" s="8"/>
      <c r="B1" s="8"/>
      <c r="C1" s="88" t="s">
        <v>15</v>
      </c>
      <c r="D1" s="88"/>
      <c r="E1" s="88"/>
      <c r="F1" s="88"/>
      <c r="G1" s="88"/>
    </row>
    <row r="2" spans="1:32" x14ac:dyDescent="0.3">
      <c r="A2" s="8"/>
      <c r="B2" s="13" t="s">
        <v>25</v>
      </c>
      <c r="C2" s="13">
        <v>1</v>
      </c>
      <c r="D2" s="13">
        <v>2</v>
      </c>
      <c r="E2" s="13">
        <v>3</v>
      </c>
      <c r="F2" s="13">
        <v>4</v>
      </c>
      <c r="G2" s="13">
        <v>5</v>
      </c>
    </row>
    <row r="3" spans="1:32" x14ac:dyDescent="0.3">
      <c r="A3" s="16" t="s">
        <v>30</v>
      </c>
      <c r="B3" s="17" t="s">
        <v>31</v>
      </c>
      <c r="C3" s="18">
        <f>-F25*B25</f>
        <v>-32300</v>
      </c>
      <c r="D3" s="18">
        <v>0</v>
      </c>
      <c r="E3" s="18">
        <v>0</v>
      </c>
      <c r="F3" s="18">
        <v>0</v>
      </c>
      <c r="G3" s="18">
        <v>0</v>
      </c>
    </row>
    <row r="4" spans="1:32" x14ac:dyDescent="0.3">
      <c r="A4" s="17"/>
      <c r="B4" s="17" t="s">
        <v>36</v>
      </c>
      <c r="C4" s="18">
        <f>-F26*B26</f>
        <v>-102948</v>
      </c>
      <c r="D4" s="18">
        <v>0</v>
      </c>
      <c r="E4" s="18">
        <v>0</v>
      </c>
      <c r="F4" s="18">
        <v>0</v>
      </c>
      <c r="G4" s="18">
        <v>0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</row>
    <row r="5" spans="1:32" x14ac:dyDescent="0.3">
      <c r="A5" s="17"/>
      <c r="B5" s="17" t="s">
        <v>40</v>
      </c>
      <c r="C5" s="18">
        <f>-B28*F28</f>
        <v>-3000</v>
      </c>
      <c r="D5" s="18">
        <v>0</v>
      </c>
      <c r="E5" s="18">
        <v>0</v>
      </c>
      <c r="F5" s="18">
        <v>0</v>
      </c>
      <c r="G5" s="18">
        <v>0</v>
      </c>
      <c r="J5" s="8">
        <v>1</v>
      </c>
      <c r="K5" s="14">
        <f>SUM(C3:C5)</f>
        <v>-138248</v>
      </c>
      <c r="L5" s="14">
        <f>SUM(C7:C9)</f>
        <v>-211720.38666666669</v>
      </c>
      <c r="M5" s="14">
        <v>0</v>
      </c>
      <c r="N5" s="26">
        <f t="shared" ref="N5:N14" si="0">SUM(K5:M5)*(1+$B$41)^J5</f>
        <v>-358367.62794666673</v>
      </c>
    </row>
    <row r="6" spans="1:32" x14ac:dyDescent="0.3">
      <c r="A6" s="17"/>
      <c r="B6" s="17"/>
      <c r="C6" s="18"/>
      <c r="D6" s="18"/>
      <c r="E6" s="18"/>
      <c r="F6" s="18"/>
      <c r="G6" s="18"/>
      <c r="J6" s="8">
        <v>2</v>
      </c>
      <c r="K6" s="14">
        <v>0</v>
      </c>
      <c r="L6" s="14">
        <f>SUM(C7:C9)</f>
        <v>-211720.38666666669</v>
      </c>
      <c r="M6" s="14">
        <f>SUM(D11:D15)</f>
        <v>763113.53</v>
      </c>
      <c r="N6" s="26">
        <f t="shared" si="0"/>
        <v>578177.61666389334</v>
      </c>
      <c r="AF6" s="11"/>
    </row>
    <row r="7" spans="1:32" x14ac:dyDescent="0.3">
      <c r="A7" s="19" t="s">
        <v>47</v>
      </c>
      <c r="B7" s="20" t="s">
        <v>48</v>
      </c>
      <c r="C7" s="21">
        <f>-B25*F29</f>
        <v>-64600</v>
      </c>
      <c r="D7" s="21">
        <f>-B25*F29</f>
        <v>-64600</v>
      </c>
      <c r="E7" s="21">
        <f>-B25*F29</f>
        <v>-64600</v>
      </c>
      <c r="F7" s="21">
        <f>-B25*F29</f>
        <v>-64600</v>
      </c>
      <c r="G7" s="21">
        <f>-B25*F29</f>
        <v>-64600</v>
      </c>
      <c r="J7" s="8">
        <v>3</v>
      </c>
      <c r="K7" s="14">
        <v>0</v>
      </c>
      <c r="L7" s="14">
        <f>SUM(C7:C9)</f>
        <v>-211720.38666666669</v>
      </c>
      <c r="M7" s="14">
        <f>SUM(D11:D15)</f>
        <v>763113.53</v>
      </c>
      <c r="N7" s="26">
        <f t="shared" si="0"/>
        <v>592053.87946382677</v>
      </c>
    </row>
    <row r="8" spans="1:32" x14ac:dyDescent="0.3">
      <c r="A8" s="20"/>
      <c r="B8" s="20" t="s">
        <v>52</v>
      </c>
      <c r="C8" s="21">
        <f>-(F38+F39+F40)/3</f>
        <v>-98391.666666666672</v>
      </c>
      <c r="D8" s="21">
        <f>-(F38+F39+F40)/3</f>
        <v>-98391.666666666672</v>
      </c>
      <c r="E8" s="21">
        <f>-(F38+F39+F40)/3</f>
        <v>-98391.666666666672</v>
      </c>
      <c r="F8" s="21">
        <f>-(F38+F39+F40)/3</f>
        <v>-98391.666666666672</v>
      </c>
      <c r="G8" s="21">
        <f>-(F38+F39+F40)/3</f>
        <v>-98391.666666666672</v>
      </c>
      <c r="J8" s="8">
        <v>4</v>
      </c>
      <c r="K8" s="14">
        <v>0</v>
      </c>
      <c r="L8" s="14">
        <f>SUM(C7:C9)</f>
        <v>-211720.38666666669</v>
      </c>
      <c r="M8" s="14">
        <f>SUM(D11:D15)</f>
        <v>763113.53</v>
      </c>
      <c r="N8" s="26">
        <f t="shared" si="0"/>
        <v>606263.17257095862</v>
      </c>
    </row>
    <row r="9" spans="1:32" x14ac:dyDescent="0.3">
      <c r="A9" s="20"/>
      <c r="B9" s="20" t="s">
        <v>56</v>
      </c>
      <c r="C9" s="21">
        <f>-B26*F33*F34</f>
        <v>-48728.719999999994</v>
      </c>
      <c r="D9" s="21">
        <f>-B26*F33*F34</f>
        <v>-48728.719999999994</v>
      </c>
      <c r="E9" s="21">
        <f>-B26*F33*F34</f>
        <v>-48728.719999999994</v>
      </c>
      <c r="F9" s="21">
        <f>-B26*F33*F34</f>
        <v>-48728.719999999994</v>
      </c>
      <c r="G9" s="21">
        <f>-B26*F33*F34</f>
        <v>-48728.719999999994</v>
      </c>
      <c r="J9" s="8">
        <v>5</v>
      </c>
      <c r="K9" s="14">
        <v>0</v>
      </c>
      <c r="L9" s="14">
        <f>SUM(C7:C9)</f>
        <v>-211720.38666666669</v>
      </c>
      <c r="M9" s="14">
        <f>SUM(D11:D15)</f>
        <v>763113.53</v>
      </c>
      <c r="N9" s="26">
        <f t="shared" si="0"/>
        <v>620813.48871266167</v>
      </c>
    </row>
    <row r="10" spans="1:32" x14ac:dyDescent="0.3">
      <c r="A10" s="20"/>
      <c r="B10" s="20"/>
      <c r="C10" s="21"/>
      <c r="D10" s="21"/>
      <c r="E10" s="21"/>
      <c r="F10" s="21"/>
      <c r="G10" s="21"/>
      <c r="J10" s="8">
        <v>6</v>
      </c>
      <c r="K10" s="14">
        <v>0</v>
      </c>
      <c r="L10" s="14">
        <f>SUM(C7:C9)</f>
        <v>-211720.38666666669</v>
      </c>
      <c r="M10" s="14">
        <f>SUM(D11:D15)</f>
        <v>763113.53</v>
      </c>
      <c r="N10" s="26">
        <f t="shared" si="0"/>
        <v>635713.0124417654</v>
      </c>
    </row>
    <row r="11" spans="1:32" x14ac:dyDescent="0.3">
      <c r="A11" s="22" t="s">
        <v>64</v>
      </c>
      <c r="B11" s="23" t="s">
        <v>65</v>
      </c>
      <c r="C11" s="24">
        <v>0</v>
      </c>
      <c r="D11" s="24">
        <f>F30*5*8*365</f>
        <v>511000</v>
      </c>
      <c r="E11" s="24">
        <f>F30*5*8*365</f>
        <v>511000</v>
      </c>
      <c r="F11" s="24">
        <f>F30*5*8*365</f>
        <v>511000</v>
      </c>
      <c r="G11" s="24">
        <f>F30*5*8*365</f>
        <v>511000</v>
      </c>
      <c r="J11" s="8">
        <v>7</v>
      </c>
      <c r="K11" s="14">
        <v>0</v>
      </c>
      <c r="L11" s="14">
        <f>SUM(C7:C9)</f>
        <v>-211720.38666666669</v>
      </c>
      <c r="M11" s="14">
        <f>SUM(D11:D15)</f>
        <v>763113.53</v>
      </c>
      <c r="N11" s="26">
        <f t="shared" si="0"/>
        <v>650970.12474036787</v>
      </c>
    </row>
    <row r="12" spans="1:32" x14ac:dyDescent="0.3">
      <c r="A12" s="23"/>
      <c r="B12" s="23" t="s">
        <v>69</v>
      </c>
      <c r="C12" s="24">
        <v>0</v>
      </c>
      <c r="D12" s="24">
        <f>F30*365*24*(1-0.99)</f>
        <v>3066.0000000000027</v>
      </c>
      <c r="E12" s="24">
        <f>F30*365*24*(1-0.99)</f>
        <v>3066.0000000000027</v>
      </c>
      <c r="F12" s="24">
        <f>F30*365*24*(1-0.99)</f>
        <v>3066.0000000000027</v>
      </c>
      <c r="G12" s="24">
        <f>F30*365*24*(1-0.99)</f>
        <v>3066.0000000000027</v>
      </c>
      <c r="J12" s="8">
        <v>8</v>
      </c>
      <c r="K12" s="14">
        <v>0</v>
      </c>
      <c r="L12" s="14">
        <f>SUM(C7:C9)</f>
        <v>-211720.38666666669</v>
      </c>
      <c r="M12" s="14">
        <f>SUM(D11:D15)</f>
        <v>763113.53</v>
      </c>
      <c r="N12" s="26">
        <f t="shared" si="0"/>
        <v>666593.40773413668</v>
      </c>
    </row>
    <row r="13" spans="1:32" x14ac:dyDescent="0.3">
      <c r="A13" s="23"/>
      <c r="B13" s="23" t="s">
        <v>70</v>
      </c>
      <c r="C13" s="24">
        <v>0</v>
      </c>
      <c r="D13" s="24">
        <f>F35*F31</f>
        <v>1000</v>
      </c>
      <c r="E13" s="24">
        <f>F35*F31</f>
        <v>1000</v>
      </c>
      <c r="F13" s="24">
        <f>F35*F31</f>
        <v>1000</v>
      </c>
      <c r="G13" s="24">
        <f>F35*F31</f>
        <v>1000</v>
      </c>
      <c r="J13" s="8">
        <v>9</v>
      </c>
      <c r="K13" s="14">
        <v>0</v>
      </c>
      <c r="L13" s="14">
        <f>SUM(C7:C9)</f>
        <v>-211720.38666666669</v>
      </c>
      <c r="M13" s="14">
        <f>SUM(D11:D15)</f>
        <v>763113.53</v>
      </c>
      <c r="N13" s="26">
        <f t="shared" si="0"/>
        <v>682591.64951975585</v>
      </c>
    </row>
    <row r="14" spans="1:32" x14ac:dyDescent="0.3">
      <c r="A14" s="23"/>
      <c r="B14" s="23" t="s">
        <v>71</v>
      </c>
      <c r="C14" s="24">
        <v>0</v>
      </c>
      <c r="D14" s="24">
        <f>F36*F32</f>
        <v>2767.53</v>
      </c>
      <c r="E14" s="24">
        <f>F36*F32</f>
        <v>2767.53</v>
      </c>
      <c r="F14" s="24">
        <f>F36*F32</f>
        <v>2767.53</v>
      </c>
      <c r="G14" s="24">
        <f>F36*F32</f>
        <v>2767.53</v>
      </c>
      <c r="J14" s="8">
        <v>10</v>
      </c>
      <c r="K14" s="14">
        <v>0</v>
      </c>
      <c r="L14" s="14">
        <f>SUM(C7:C9)</f>
        <v>-211720.38666666669</v>
      </c>
      <c r="M14" s="14">
        <f>SUM(D11:D15)</f>
        <v>763113.53</v>
      </c>
      <c r="N14" s="26">
        <f t="shared" si="0"/>
        <v>698973.84910823009</v>
      </c>
    </row>
    <row r="15" spans="1:32" x14ac:dyDescent="0.3">
      <c r="A15" s="23"/>
      <c r="B15" s="23" t="s">
        <v>72</v>
      </c>
      <c r="C15" s="24">
        <v>0</v>
      </c>
      <c r="D15" s="24">
        <f>(1-F37)*F30*24*365</f>
        <v>245280</v>
      </c>
      <c r="E15" s="24">
        <f>(1-F37)*F30*24*365</f>
        <v>245280</v>
      </c>
      <c r="F15" s="24">
        <f>(1-F37)*F30*24*365</f>
        <v>245280</v>
      </c>
      <c r="G15" s="24">
        <f>(1-F37)*F30*24*365</f>
        <v>245280</v>
      </c>
      <c r="H15" s="40" t="s">
        <v>73</v>
      </c>
      <c r="J15" s="8"/>
      <c r="K15" s="8"/>
      <c r="L15" s="8"/>
      <c r="M15" s="8" t="s">
        <v>20</v>
      </c>
      <c r="N15" s="27">
        <f>NPV($B$42,N5:N14)</f>
        <v>3502083.5632532728</v>
      </c>
    </row>
    <row r="16" spans="1:32" x14ac:dyDescent="0.3">
      <c r="A16" s="13" t="s">
        <v>74</v>
      </c>
      <c r="B16" s="8"/>
      <c r="C16" s="41">
        <f>SUM(C3:C15)</f>
        <v>-349968.38666666666</v>
      </c>
      <c r="D16" s="41">
        <f>SUM(D3:D15)</f>
        <v>551393.14333333331</v>
      </c>
      <c r="E16" s="41">
        <f>SUM(E3:E15)</f>
        <v>551393.14333333331</v>
      </c>
      <c r="F16" s="41">
        <f>SUM(F3:F15)</f>
        <v>551393.14333333331</v>
      </c>
      <c r="G16" s="41">
        <f>SUM(G3:G15)</f>
        <v>551393.14333333331</v>
      </c>
      <c r="H16" s="42">
        <f>SUM(C16:G16)</f>
        <v>1855604.1866666665</v>
      </c>
      <c r="J16" s="8"/>
      <c r="K16" s="8"/>
      <c r="L16" s="8"/>
      <c r="M16" s="8" t="s">
        <v>21</v>
      </c>
      <c r="N16" s="28">
        <f>-PMT($B$42,COUNTA(J5:J14),N15)</f>
        <v>498617.91207855201</v>
      </c>
    </row>
    <row r="20" spans="1:7" x14ac:dyDescent="0.3">
      <c r="A20" s="12"/>
    </row>
    <row r="21" spans="1:7" x14ac:dyDescent="0.3">
      <c r="A21" s="12"/>
    </row>
    <row r="24" spans="1:7" x14ac:dyDescent="0.3">
      <c r="A24" s="13" t="s">
        <v>75</v>
      </c>
      <c r="B24" s="8"/>
      <c r="C24" s="8"/>
      <c r="E24" s="13" t="s">
        <v>24</v>
      </c>
      <c r="F24" s="8"/>
      <c r="G24" s="8"/>
    </row>
    <row r="25" spans="1:7" x14ac:dyDescent="0.3">
      <c r="A25" s="8" t="s">
        <v>26</v>
      </c>
      <c r="B25" s="8">
        <v>323</v>
      </c>
      <c r="C25" s="8" t="s">
        <v>27</v>
      </c>
      <c r="E25" s="8" t="s">
        <v>28</v>
      </c>
      <c r="F25" s="8">
        <v>100</v>
      </c>
      <c r="G25" s="8" t="s">
        <v>29</v>
      </c>
    </row>
    <row r="26" spans="1:7" x14ac:dyDescent="0.3">
      <c r="A26" s="8" t="s">
        <v>32</v>
      </c>
      <c r="B26" s="8">
        <v>3431.6</v>
      </c>
      <c r="C26" s="8" t="s">
        <v>33</v>
      </c>
      <c r="E26" s="8" t="s">
        <v>34</v>
      </c>
      <c r="F26" s="8">
        <v>30</v>
      </c>
      <c r="G26" s="8" t="s">
        <v>35</v>
      </c>
    </row>
    <row r="27" spans="1:7" x14ac:dyDescent="0.3">
      <c r="A27" s="8" t="s">
        <v>37</v>
      </c>
      <c r="B27" s="8">
        <v>149.53700000000001</v>
      </c>
      <c r="C27" s="8" t="s">
        <v>38</v>
      </c>
      <c r="E27" s="8" t="s">
        <v>39</v>
      </c>
      <c r="F27" s="8">
        <v>35.875</v>
      </c>
      <c r="G27" s="8" t="s">
        <v>38</v>
      </c>
    </row>
    <row r="28" spans="1:7" x14ac:dyDescent="0.3">
      <c r="A28" s="8" t="s">
        <v>41</v>
      </c>
      <c r="B28" s="8">
        <f>_xlfn.CEILING.MATH(B27/F27)</f>
        <v>5</v>
      </c>
      <c r="C28" s="8" t="s">
        <v>27</v>
      </c>
      <c r="E28" s="8" t="s">
        <v>42</v>
      </c>
      <c r="F28" s="8">
        <v>600</v>
      </c>
      <c r="G28" s="8" t="s">
        <v>43</v>
      </c>
    </row>
    <row r="29" spans="1:7" x14ac:dyDescent="0.3">
      <c r="E29" s="8" t="s">
        <v>46</v>
      </c>
      <c r="F29" s="8">
        <v>200</v>
      </c>
      <c r="G29" s="8" t="s">
        <v>29</v>
      </c>
    </row>
    <row r="30" spans="1:7" x14ac:dyDescent="0.3">
      <c r="E30" s="8" t="s">
        <v>50</v>
      </c>
      <c r="F30" s="8">
        <v>35</v>
      </c>
      <c r="G30" s="8" t="s">
        <v>51</v>
      </c>
    </row>
    <row r="31" spans="1:7" x14ac:dyDescent="0.3">
      <c r="E31" s="8" t="s">
        <v>55</v>
      </c>
      <c r="F31" s="8">
        <v>0.1</v>
      </c>
      <c r="G31" s="8" t="s">
        <v>54</v>
      </c>
    </row>
    <row r="32" spans="1:7" x14ac:dyDescent="0.3">
      <c r="E32" s="8" t="s">
        <v>59</v>
      </c>
      <c r="F32" s="8">
        <v>0.01</v>
      </c>
      <c r="G32" s="8" t="s">
        <v>60</v>
      </c>
    </row>
    <row r="33" spans="1:7" x14ac:dyDescent="0.3">
      <c r="E33" s="8" t="s">
        <v>62</v>
      </c>
      <c r="F33" s="8">
        <v>100</v>
      </c>
      <c r="G33" s="8" t="s">
        <v>63</v>
      </c>
    </row>
    <row r="34" spans="1:7" x14ac:dyDescent="0.3">
      <c r="E34" s="8" t="s">
        <v>67</v>
      </c>
      <c r="F34" s="8">
        <v>0.14199999999999999</v>
      </c>
      <c r="G34" s="8" t="s">
        <v>68</v>
      </c>
    </row>
    <row r="35" spans="1:7" x14ac:dyDescent="0.3">
      <c r="E35" s="8" t="s">
        <v>44</v>
      </c>
      <c r="F35" s="8">
        <v>10000</v>
      </c>
      <c r="G35" s="8" t="s">
        <v>45</v>
      </c>
    </row>
    <row r="36" spans="1:7" x14ac:dyDescent="0.3">
      <c r="E36" s="8" t="s">
        <v>49</v>
      </c>
      <c r="F36" s="8">
        <v>276753</v>
      </c>
      <c r="G36" s="8" t="s">
        <v>45</v>
      </c>
    </row>
    <row r="37" spans="1:7" x14ac:dyDescent="0.3">
      <c r="E37" s="8" t="s">
        <v>53</v>
      </c>
      <c r="F37" s="8">
        <v>0.2</v>
      </c>
      <c r="G37" s="8" t="s">
        <v>54</v>
      </c>
    </row>
    <row r="38" spans="1:7" x14ac:dyDescent="0.3">
      <c r="E38" s="8" t="s">
        <v>57</v>
      </c>
      <c r="F38" s="8">
        <v>127224</v>
      </c>
      <c r="G38" s="8" t="s">
        <v>58</v>
      </c>
    </row>
    <row r="39" spans="1:7" x14ac:dyDescent="0.3">
      <c r="E39" s="8" t="s">
        <v>61</v>
      </c>
      <c r="F39" s="8">
        <v>90883</v>
      </c>
      <c r="G39" s="8" t="s">
        <v>58</v>
      </c>
    </row>
    <row r="40" spans="1:7" x14ac:dyDescent="0.3">
      <c r="E40" s="8" t="s">
        <v>66</v>
      </c>
      <c r="F40" s="8">
        <v>77068</v>
      </c>
      <c r="G40" s="8" t="s">
        <v>58</v>
      </c>
    </row>
    <row r="41" spans="1:7" x14ac:dyDescent="0.3">
      <c r="A41" s="8" t="s">
        <v>13</v>
      </c>
      <c r="B41" s="9">
        <v>2.4E-2</v>
      </c>
      <c r="C41" s="8"/>
    </row>
    <row r="42" spans="1:7" x14ac:dyDescent="0.3">
      <c r="A42" s="8" t="s">
        <v>14</v>
      </c>
      <c r="B42" s="10">
        <v>7.0000000000000007E-2</v>
      </c>
      <c r="C42" s="8"/>
    </row>
    <row r="50" spans="3:9" x14ac:dyDescent="0.3">
      <c r="C50" s="13" t="s">
        <v>22</v>
      </c>
      <c r="D50" s="89" t="s">
        <v>26</v>
      </c>
      <c r="E50" s="89"/>
      <c r="F50" s="89" t="s">
        <v>32</v>
      </c>
      <c r="G50" s="89"/>
      <c r="H50" s="89" t="s">
        <v>37</v>
      </c>
      <c r="I50" s="89"/>
    </row>
    <row r="51" spans="3:9" x14ac:dyDescent="0.3">
      <c r="C51" s="8"/>
      <c r="D51" s="8" t="s">
        <v>12</v>
      </c>
      <c r="E51" s="8" t="s">
        <v>20</v>
      </c>
      <c r="F51" s="8" t="s">
        <v>12</v>
      </c>
      <c r="G51" s="8" t="s">
        <v>20</v>
      </c>
      <c r="H51" s="8" t="s">
        <v>12</v>
      </c>
      <c r="I51" s="8" t="s">
        <v>20</v>
      </c>
    </row>
    <row r="52" spans="3:9" x14ac:dyDescent="0.3">
      <c r="C52" s="13" t="s">
        <v>23</v>
      </c>
      <c r="D52" s="8">
        <v>323</v>
      </c>
      <c r="E52" s="14">
        <f>$N$15</f>
        <v>3502083.5632532728</v>
      </c>
      <c r="F52">
        <v>3431.6</v>
      </c>
      <c r="G52" s="14">
        <f>$N$15</f>
        <v>3502083.5632532728</v>
      </c>
      <c r="H52">
        <v>149.53700000000001</v>
      </c>
      <c r="I52" s="14">
        <f>$N$15</f>
        <v>3502083.5632532728</v>
      </c>
    </row>
    <row r="53" spans="3:9" x14ac:dyDescent="0.3">
      <c r="C53" s="15">
        <v>-0.2</v>
      </c>
      <c r="D53" s="8">
        <f t="shared" ref="D53:D61" si="1">D$52*(1+$C53)</f>
        <v>258.40000000000003</v>
      </c>
      <c r="E53" s="25">
        <f t="dataTable" ref="E53:E61" dt2D="0" dtr="0" r1="B25" ca="1"/>
        <v>3610537.4436865808</v>
      </c>
      <c r="F53" s="8">
        <f t="shared" ref="F53:F61" si="2">F$52*(1+$C53)</f>
        <v>2745.28</v>
      </c>
      <c r="G53" s="25">
        <f t="dataTable" ref="G53:G61" dt2D="0" dtr="0" r1="B26"/>
        <v>3598932.9589669057</v>
      </c>
      <c r="H53" s="8">
        <f t="shared" ref="H53:H61" si="3">H$52*(1+$C53)</f>
        <v>119.62960000000001</v>
      </c>
      <c r="I53" s="25">
        <f t="dataTable" ref="I53:I61" dt2D="0" dtr="0" r1="B27" ca="1"/>
        <v>3502657.7688607494</v>
      </c>
    </row>
    <row r="54" spans="3:9" x14ac:dyDescent="0.3">
      <c r="C54" s="15">
        <v>-0.15</v>
      </c>
      <c r="D54" s="8">
        <f t="shared" si="1"/>
        <v>274.55</v>
      </c>
      <c r="E54" s="25">
        <v>3583423.9735782542</v>
      </c>
      <c r="F54" s="8">
        <f t="shared" si="2"/>
        <v>2916.8599999999997</v>
      </c>
      <c r="G54" s="25">
        <v>3574720.610038497</v>
      </c>
      <c r="H54" s="8">
        <f t="shared" si="3"/>
        <v>127.10645</v>
      </c>
      <c r="I54" s="25">
        <v>3502657.7688607494</v>
      </c>
    </row>
    <row r="55" spans="3:9" x14ac:dyDescent="0.3">
      <c r="C55" s="15">
        <v>-0.1</v>
      </c>
      <c r="D55" s="8">
        <f t="shared" si="1"/>
        <v>290.7</v>
      </c>
      <c r="E55" s="25">
        <v>3556310.5034699268</v>
      </c>
      <c r="F55" s="8">
        <f t="shared" si="2"/>
        <v>3088.44</v>
      </c>
      <c r="G55" s="25">
        <v>3550508.2611100888</v>
      </c>
      <c r="H55" s="8">
        <f t="shared" si="3"/>
        <v>134.58330000000001</v>
      </c>
      <c r="I55" s="25">
        <v>3502657.7688607494</v>
      </c>
    </row>
    <row r="56" spans="3:9" x14ac:dyDescent="0.3">
      <c r="C56" s="15">
        <v>-0.05</v>
      </c>
      <c r="D56" s="8">
        <f t="shared" si="1"/>
        <v>306.84999999999997</v>
      </c>
      <c r="E56" s="25">
        <v>3529197.0333615993</v>
      </c>
      <c r="F56" s="8">
        <f t="shared" si="2"/>
        <v>3260.02</v>
      </c>
      <c r="G56" s="25">
        <v>3526295.9121816806</v>
      </c>
      <c r="H56" s="8">
        <f t="shared" si="3"/>
        <v>142.06014999999999</v>
      </c>
      <c r="I56" s="25">
        <v>3502657.7688607494</v>
      </c>
    </row>
    <row r="57" spans="3:9" x14ac:dyDescent="0.3">
      <c r="C57" s="15">
        <v>0</v>
      </c>
      <c r="D57" s="8">
        <f t="shared" si="1"/>
        <v>323</v>
      </c>
      <c r="E57" s="25">
        <v>3502083.5632532728</v>
      </c>
      <c r="F57" s="8">
        <f t="shared" si="2"/>
        <v>3431.6</v>
      </c>
      <c r="G57" s="25">
        <v>3502083.5632532728</v>
      </c>
      <c r="H57" s="8">
        <f t="shared" si="3"/>
        <v>149.53700000000001</v>
      </c>
      <c r="I57" s="25">
        <v>3502083.5632532728</v>
      </c>
    </row>
    <row r="58" spans="3:9" x14ac:dyDescent="0.3">
      <c r="C58" s="15">
        <v>0.05</v>
      </c>
      <c r="D58" s="8">
        <f t="shared" si="1"/>
        <v>339.15000000000003</v>
      </c>
      <c r="E58" s="25">
        <v>3474970.0931449453</v>
      </c>
      <c r="F58" s="8">
        <f t="shared" si="2"/>
        <v>3603.18</v>
      </c>
      <c r="G58" s="25">
        <v>3477871.2143248641</v>
      </c>
      <c r="H58" s="8">
        <f t="shared" si="3"/>
        <v>157.01385000000002</v>
      </c>
      <c r="I58" s="25">
        <v>3502083.5632532728</v>
      </c>
    </row>
    <row r="59" spans="3:9" x14ac:dyDescent="0.3">
      <c r="C59" s="15">
        <v>0.1</v>
      </c>
      <c r="D59" s="8">
        <f t="shared" si="1"/>
        <v>355.3</v>
      </c>
      <c r="E59" s="25">
        <v>3447856.6230366188</v>
      </c>
      <c r="F59" s="8">
        <f t="shared" si="2"/>
        <v>3774.76</v>
      </c>
      <c r="G59" s="25">
        <v>3453658.8653964563</v>
      </c>
      <c r="H59" s="8">
        <f t="shared" si="3"/>
        <v>164.49070000000003</v>
      </c>
      <c r="I59" s="25">
        <v>3502083.5632532728</v>
      </c>
    </row>
    <row r="60" spans="3:9" x14ac:dyDescent="0.3">
      <c r="C60" s="15">
        <v>0.15</v>
      </c>
      <c r="D60" s="8">
        <f t="shared" si="1"/>
        <v>371.45</v>
      </c>
      <c r="E60" s="25">
        <v>3420743.1529282914</v>
      </c>
      <c r="F60" s="8">
        <f t="shared" si="2"/>
        <v>3946.3399999999997</v>
      </c>
      <c r="G60" s="25">
        <v>3429446.5164680486</v>
      </c>
      <c r="H60" s="8">
        <f t="shared" si="3"/>
        <v>171.96754999999999</v>
      </c>
      <c r="I60" s="25">
        <v>3502083.5632532728</v>
      </c>
    </row>
    <row r="61" spans="3:9" x14ac:dyDescent="0.3">
      <c r="C61" s="15">
        <v>0.2</v>
      </c>
      <c r="D61" s="8">
        <f t="shared" si="1"/>
        <v>387.59999999999997</v>
      </c>
      <c r="E61" s="25">
        <v>3393629.6828199639</v>
      </c>
      <c r="F61" s="8">
        <f t="shared" si="2"/>
        <v>4117.92</v>
      </c>
      <c r="G61" s="25">
        <v>3405234.1675396403</v>
      </c>
      <c r="H61" s="8">
        <f t="shared" si="3"/>
        <v>179.4444</v>
      </c>
      <c r="I61" s="25">
        <v>3501509.3576457961</v>
      </c>
    </row>
    <row r="161" spans="1:2" x14ac:dyDescent="0.3">
      <c r="A161" t="s">
        <v>0</v>
      </c>
    </row>
    <row r="162" spans="1:2" x14ac:dyDescent="0.3">
      <c r="A162" s="1" t="s">
        <v>1</v>
      </c>
      <c r="B162" s="1" t="s">
        <v>2</v>
      </c>
    </row>
    <row r="163" spans="1:2" x14ac:dyDescent="0.3">
      <c r="A163" s="2" t="s">
        <v>3</v>
      </c>
      <c r="B163" s="3" t="s">
        <v>4</v>
      </c>
    </row>
    <row r="164" spans="1:2" ht="27.6" x14ac:dyDescent="0.3">
      <c r="A164" s="2" t="s">
        <v>5</v>
      </c>
      <c r="B164" s="3" t="s">
        <v>4</v>
      </c>
    </row>
    <row r="165" spans="1:2" x14ac:dyDescent="0.3">
      <c r="A165" s="4" t="s">
        <v>6</v>
      </c>
      <c r="B165" s="3" t="s">
        <v>7</v>
      </c>
    </row>
    <row r="166" spans="1:2" ht="27.6" x14ac:dyDescent="0.3">
      <c r="A166" s="2" t="s">
        <v>8</v>
      </c>
      <c r="B166" s="3" t="s">
        <v>9</v>
      </c>
    </row>
    <row r="168" spans="1:2" x14ac:dyDescent="0.3">
      <c r="A168" t="s">
        <v>10</v>
      </c>
      <c r="B168" s="5">
        <v>7.0000000000000007E-2</v>
      </c>
    </row>
    <row r="169" spans="1:2" x14ac:dyDescent="0.3">
      <c r="A169" s="7" t="s">
        <v>11</v>
      </c>
      <c r="B169" s="6">
        <v>2.4E-2</v>
      </c>
    </row>
  </sheetData>
  <mergeCells count="4">
    <mergeCell ref="C1:G1"/>
    <mergeCell ref="D50:E50"/>
    <mergeCell ref="F50:G50"/>
    <mergeCell ref="H50:I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E770-FCC0-4AD1-8521-60ADFFBDF118}">
  <dimension ref="A1:L501"/>
  <sheetViews>
    <sheetView zoomScale="71" workbookViewId="0">
      <selection activeCell="L4" sqref="L4"/>
    </sheetView>
  </sheetViews>
  <sheetFormatPr defaultRowHeight="14.4" x14ac:dyDescent="0.3"/>
  <cols>
    <col min="2" max="2" width="17" customWidth="1"/>
    <col min="3" max="3" width="15.6640625" customWidth="1"/>
    <col min="10" max="10" width="23.88671875" bestFit="1" customWidth="1"/>
    <col min="11" max="11" width="20.6640625" customWidth="1"/>
    <col min="12" max="12" width="17.5546875" customWidth="1"/>
  </cols>
  <sheetData>
    <row r="1" spans="1:12" x14ac:dyDescent="0.3">
      <c r="A1" t="s">
        <v>88</v>
      </c>
      <c r="B1" t="s">
        <v>20</v>
      </c>
      <c r="C1" t="s">
        <v>21</v>
      </c>
      <c r="J1" s="62"/>
      <c r="K1" s="62" t="s">
        <v>20</v>
      </c>
      <c r="L1" s="62" t="s">
        <v>21</v>
      </c>
    </row>
    <row r="2" spans="1:12" x14ac:dyDescent="0.3">
      <c r="A2">
        <v>1</v>
      </c>
      <c r="B2" s="77">
        <f ca="1">Stochastic!V13</f>
        <v>2388422.5225250642</v>
      </c>
      <c r="C2" s="77">
        <f ca="1">Stochastic!V14</f>
        <v>340057.63421491167</v>
      </c>
      <c r="J2" s="62" t="s">
        <v>89</v>
      </c>
      <c r="K2" s="61">
        <f ca="1">AVERAGE(B2:B501)</f>
        <v>2386336.2087026569</v>
      </c>
      <c r="L2" s="63">
        <f ca="1">AVERAGE(C2:C501)</f>
        <v>339760.59006297169</v>
      </c>
    </row>
    <row r="3" spans="1:12" x14ac:dyDescent="0.3">
      <c r="A3">
        <f>A2+1</f>
        <v>2</v>
      </c>
      <c r="B3" s="77">
        <f t="dataTable" ref="B3:C501" dt2D="0" dtr="0" r1="D2" ca="1"/>
        <v>2552330.0302216238</v>
      </c>
      <c r="C3" s="77">
        <v>363394.37583901413</v>
      </c>
      <c r="J3" s="62" t="s">
        <v>90</v>
      </c>
      <c r="K3" s="76">
        <f ca="1">_xlfn.STDEV.S(B2:B501)</f>
        <v>262153.75293629721</v>
      </c>
      <c r="L3" s="76">
        <f ca="1">_xlfn.STDEV.S(C2:C501)</f>
        <v>37324.79667367816</v>
      </c>
    </row>
    <row r="4" spans="1:12" x14ac:dyDescent="0.3">
      <c r="A4">
        <f>A3+1</f>
        <v>3</v>
      </c>
      <c r="B4" s="77">
        <v>2151825.3921311242</v>
      </c>
      <c r="C4" s="77">
        <v>306371.5256369618</v>
      </c>
      <c r="J4" s="62" t="s">
        <v>107</v>
      </c>
      <c r="K4" s="66">
        <f ca="1">COUNTIF(B2:B501,"&gt;"&amp;0)/500</f>
        <v>1</v>
      </c>
      <c r="L4" s="65">
        <f ca="1">COUNTIF(C2:C501,"&gt;"&amp;0)/500</f>
        <v>1</v>
      </c>
    </row>
    <row r="5" spans="1:12" x14ac:dyDescent="0.3">
      <c r="A5">
        <f t="shared" ref="A5:A68" si="0">A4+1</f>
        <v>4</v>
      </c>
      <c r="B5" s="77">
        <v>2147582.4770619082</v>
      </c>
      <c r="C5" s="77">
        <v>305767.42998512252</v>
      </c>
      <c r="J5" s="62" t="s">
        <v>91</v>
      </c>
      <c r="K5" s="61">
        <f ca="1">K2+_xlfn.CONFIDENCE.T(0.05,K3,500)</f>
        <v>2409370.4450735729</v>
      </c>
      <c r="L5" s="63">
        <f ca="1">L2+_xlfn.CONFIDENCE.T(0.05,L3,500)</f>
        <v>343040.1471146947</v>
      </c>
    </row>
    <row r="6" spans="1:12" x14ac:dyDescent="0.3">
      <c r="A6">
        <f t="shared" si="0"/>
        <v>5</v>
      </c>
      <c r="B6" s="77">
        <v>2290170.6299008247</v>
      </c>
      <c r="C6" s="77">
        <v>326068.77510483522</v>
      </c>
      <c r="J6" s="62" t="s">
        <v>92</v>
      </c>
      <c r="K6" s="61">
        <f ca="1">K2-_xlfn.CONFIDENCE.T(0.05,K3,500)</f>
        <v>2363301.9723317409</v>
      </c>
      <c r="L6" s="63">
        <f ca="1">L2-_xlfn.CONFIDENCE.T(0.05,L3,500)</f>
        <v>336481.03301124868</v>
      </c>
    </row>
    <row r="7" spans="1:12" x14ac:dyDescent="0.3">
      <c r="A7">
        <f t="shared" si="0"/>
        <v>6</v>
      </c>
      <c r="B7" s="77">
        <v>1968175.5183379638</v>
      </c>
      <c r="C7" s="77">
        <v>280223.91523009591</v>
      </c>
    </row>
    <row r="8" spans="1:12" x14ac:dyDescent="0.3">
      <c r="A8">
        <f t="shared" si="0"/>
        <v>7</v>
      </c>
      <c r="B8" s="77">
        <v>2646747.6346737691</v>
      </c>
      <c r="C8" s="77">
        <v>376837.31857441075</v>
      </c>
    </row>
    <row r="9" spans="1:12" x14ac:dyDescent="0.3">
      <c r="A9">
        <f t="shared" si="0"/>
        <v>8</v>
      </c>
      <c r="B9" s="77">
        <v>2234612.5795425349</v>
      </c>
      <c r="C9" s="77">
        <v>318158.55863842077</v>
      </c>
    </row>
    <row r="10" spans="1:12" x14ac:dyDescent="0.3">
      <c r="A10">
        <f t="shared" si="0"/>
        <v>9</v>
      </c>
      <c r="B10" s="77">
        <v>2596915.5227756505</v>
      </c>
      <c r="C10" s="77">
        <v>369742.34692672599</v>
      </c>
    </row>
    <row r="11" spans="1:12" x14ac:dyDescent="0.3">
      <c r="A11">
        <f t="shared" si="0"/>
        <v>10</v>
      </c>
      <c r="B11" s="77">
        <v>2516171.38435783</v>
      </c>
      <c r="C11" s="77">
        <v>358246.19813892402</v>
      </c>
    </row>
    <row r="12" spans="1:12" x14ac:dyDescent="0.3">
      <c r="A12">
        <f t="shared" si="0"/>
        <v>11</v>
      </c>
      <c r="B12" s="77">
        <v>2469233.4884280027</v>
      </c>
      <c r="C12" s="77">
        <v>351563.29773315828</v>
      </c>
    </row>
    <row r="13" spans="1:12" x14ac:dyDescent="0.3">
      <c r="A13">
        <f t="shared" si="0"/>
        <v>12</v>
      </c>
      <c r="B13" s="77">
        <v>2234605.9900535941</v>
      </c>
      <c r="C13" s="77">
        <v>318157.62044344115</v>
      </c>
    </row>
    <row r="14" spans="1:12" x14ac:dyDescent="0.3">
      <c r="A14">
        <f t="shared" si="0"/>
        <v>13</v>
      </c>
      <c r="B14" s="77">
        <v>2421811.6104104873</v>
      </c>
      <c r="C14" s="77">
        <v>344811.48916638276</v>
      </c>
    </row>
    <row r="15" spans="1:12" x14ac:dyDescent="0.3">
      <c r="A15">
        <f t="shared" si="0"/>
        <v>14</v>
      </c>
      <c r="B15" s="77">
        <v>2281041.6247260524</v>
      </c>
      <c r="C15" s="77">
        <v>324769.01014566596</v>
      </c>
    </row>
    <row r="16" spans="1:12" x14ac:dyDescent="0.3">
      <c r="A16">
        <f t="shared" si="0"/>
        <v>15</v>
      </c>
      <c r="B16" s="77">
        <v>2362569.3255817327</v>
      </c>
      <c r="C16" s="77">
        <v>336376.72059660143</v>
      </c>
    </row>
    <row r="17" spans="1:3" x14ac:dyDescent="0.3">
      <c r="A17">
        <f t="shared" si="0"/>
        <v>16</v>
      </c>
      <c r="B17" s="77">
        <v>2104527.1315135565</v>
      </c>
      <c r="C17" s="77">
        <v>299637.31740688445</v>
      </c>
    </row>
    <row r="18" spans="1:3" x14ac:dyDescent="0.3">
      <c r="A18">
        <f t="shared" si="0"/>
        <v>17</v>
      </c>
      <c r="B18" s="77">
        <v>2194400.3095820369</v>
      </c>
      <c r="C18" s="77">
        <v>312433.23606244649</v>
      </c>
    </row>
    <row r="19" spans="1:3" x14ac:dyDescent="0.3">
      <c r="A19">
        <f t="shared" si="0"/>
        <v>18</v>
      </c>
      <c r="B19" s="77">
        <v>2378875.7880173167</v>
      </c>
      <c r="C19" s="77">
        <v>338698.39399649744</v>
      </c>
    </row>
    <row r="20" spans="1:3" x14ac:dyDescent="0.3">
      <c r="A20">
        <f t="shared" si="0"/>
        <v>19</v>
      </c>
      <c r="B20" s="77">
        <v>2568253.6787865851</v>
      </c>
      <c r="C20" s="77">
        <v>365661.54515600152</v>
      </c>
    </row>
    <row r="21" spans="1:3" x14ac:dyDescent="0.3">
      <c r="A21">
        <f t="shared" si="0"/>
        <v>20</v>
      </c>
      <c r="B21" s="77">
        <v>2551942.5856664786</v>
      </c>
      <c r="C21" s="77">
        <v>363339.21245080727</v>
      </c>
    </row>
    <row r="22" spans="1:3" x14ac:dyDescent="0.3">
      <c r="A22">
        <f t="shared" si="0"/>
        <v>21</v>
      </c>
      <c r="B22" s="77">
        <v>2599360.0091027371</v>
      </c>
      <c r="C22" s="77">
        <v>370090.38678542775</v>
      </c>
    </row>
    <row r="23" spans="1:3" x14ac:dyDescent="0.3">
      <c r="A23">
        <f t="shared" si="0"/>
        <v>22</v>
      </c>
      <c r="B23" s="77">
        <v>2597290.0572927902</v>
      </c>
      <c r="C23" s="77">
        <v>369795.67221596156</v>
      </c>
    </row>
    <row r="24" spans="1:3" x14ac:dyDescent="0.3">
      <c r="A24">
        <f t="shared" si="0"/>
        <v>23</v>
      </c>
      <c r="B24" s="77">
        <v>2182769.1386323124</v>
      </c>
      <c r="C24" s="77">
        <v>310777.21898882964</v>
      </c>
    </row>
    <row r="25" spans="1:3" x14ac:dyDescent="0.3">
      <c r="A25">
        <f t="shared" si="0"/>
        <v>24</v>
      </c>
      <c r="B25" s="77">
        <v>2588399.9233574555</v>
      </c>
      <c r="C25" s="77">
        <v>368529.91714733676</v>
      </c>
    </row>
    <row r="26" spans="1:3" x14ac:dyDescent="0.3">
      <c r="A26">
        <f t="shared" si="0"/>
        <v>25</v>
      </c>
      <c r="B26" s="77">
        <v>2389886.6834220043</v>
      </c>
      <c r="C26" s="77">
        <v>340266.09778700909</v>
      </c>
    </row>
    <row r="27" spans="1:3" x14ac:dyDescent="0.3">
      <c r="A27">
        <f t="shared" si="0"/>
        <v>26</v>
      </c>
      <c r="B27" s="77">
        <v>2328291.6355007025</v>
      </c>
      <c r="C27" s="77">
        <v>331496.34868360177</v>
      </c>
    </row>
    <row r="28" spans="1:3" x14ac:dyDescent="0.3">
      <c r="A28">
        <f t="shared" si="0"/>
        <v>27</v>
      </c>
      <c r="B28" s="77">
        <v>2666701.8147085821</v>
      </c>
      <c r="C28" s="77">
        <v>379678.34489673964</v>
      </c>
    </row>
    <row r="29" spans="1:3" x14ac:dyDescent="0.3">
      <c r="A29">
        <f t="shared" si="0"/>
        <v>28</v>
      </c>
      <c r="B29" s="77">
        <v>2367831.0755410399</v>
      </c>
      <c r="C29" s="77">
        <v>337125.87541578338</v>
      </c>
    </row>
    <row r="30" spans="1:3" x14ac:dyDescent="0.3">
      <c r="A30">
        <f t="shared" si="0"/>
        <v>29</v>
      </c>
      <c r="B30" s="77">
        <v>2368833.7570215231</v>
      </c>
      <c r="C30" s="77">
        <v>337268.63470100553</v>
      </c>
    </row>
    <row r="31" spans="1:3" x14ac:dyDescent="0.3">
      <c r="A31">
        <f t="shared" si="0"/>
        <v>30</v>
      </c>
      <c r="B31" s="77">
        <v>2804175.71048802</v>
      </c>
      <c r="C31" s="77">
        <v>399251.534868018</v>
      </c>
    </row>
    <row r="32" spans="1:3" x14ac:dyDescent="0.3">
      <c r="A32">
        <f t="shared" si="0"/>
        <v>31</v>
      </c>
      <c r="B32" s="77">
        <v>2556260.6834161319</v>
      </c>
      <c r="C32" s="77">
        <v>363954.01242493553</v>
      </c>
    </row>
    <row r="33" spans="1:3" x14ac:dyDescent="0.3">
      <c r="A33">
        <f t="shared" si="0"/>
        <v>32</v>
      </c>
      <c r="B33" s="77">
        <v>2521486.4339137017</v>
      </c>
      <c r="C33" s="77">
        <v>359002.94162156119</v>
      </c>
    </row>
    <row r="34" spans="1:3" x14ac:dyDescent="0.3">
      <c r="A34">
        <f t="shared" si="0"/>
        <v>33</v>
      </c>
      <c r="B34" s="77">
        <v>2915741.8572253557</v>
      </c>
      <c r="C34" s="77">
        <v>415136.04422939458</v>
      </c>
    </row>
    <row r="35" spans="1:3" x14ac:dyDescent="0.3">
      <c r="A35">
        <f t="shared" si="0"/>
        <v>34</v>
      </c>
      <c r="B35" s="77">
        <v>2140507.6873073266</v>
      </c>
      <c r="C35" s="77">
        <v>304760.13908754406</v>
      </c>
    </row>
    <row r="36" spans="1:3" x14ac:dyDescent="0.3">
      <c r="A36">
        <f t="shared" si="0"/>
        <v>35</v>
      </c>
      <c r="B36" s="77">
        <v>2435351.1408673921</v>
      </c>
      <c r="C36" s="77">
        <v>346739.21370093792</v>
      </c>
    </row>
    <row r="37" spans="1:3" x14ac:dyDescent="0.3">
      <c r="A37">
        <f t="shared" si="0"/>
        <v>36</v>
      </c>
      <c r="B37" s="77">
        <v>2516499.0898530544</v>
      </c>
      <c r="C37" s="77">
        <v>358292.85602896404</v>
      </c>
    </row>
    <row r="38" spans="1:3" x14ac:dyDescent="0.3">
      <c r="A38">
        <f t="shared" si="0"/>
        <v>37</v>
      </c>
      <c r="B38" s="77">
        <v>2414890.3362734593</v>
      </c>
      <c r="C38" s="77">
        <v>343826.05543906114</v>
      </c>
    </row>
    <row r="39" spans="1:3" x14ac:dyDescent="0.3">
      <c r="A39">
        <f t="shared" si="0"/>
        <v>38</v>
      </c>
      <c r="B39" s="77">
        <v>2080862.2595155272</v>
      </c>
      <c r="C39" s="77">
        <v>296267.97202944226</v>
      </c>
    </row>
    <row r="40" spans="1:3" x14ac:dyDescent="0.3">
      <c r="A40">
        <f t="shared" si="0"/>
        <v>39</v>
      </c>
      <c r="B40" s="77">
        <v>2596969.5997046414</v>
      </c>
      <c r="C40" s="77">
        <v>369750.04626483086</v>
      </c>
    </row>
    <row r="41" spans="1:3" x14ac:dyDescent="0.3">
      <c r="A41">
        <f t="shared" si="0"/>
        <v>40</v>
      </c>
      <c r="B41" s="77">
        <v>2249647.4082676014</v>
      </c>
      <c r="C41" s="77">
        <v>320299.18000622938</v>
      </c>
    </row>
    <row r="42" spans="1:3" x14ac:dyDescent="0.3">
      <c r="A42">
        <f t="shared" si="0"/>
        <v>41</v>
      </c>
      <c r="B42" s="77">
        <v>2676745.0363354138</v>
      </c>
      <c r="C42" s="77">
        <v>381108.27371130534</v>
      </c>
    </row>
    <row r="43" spans="1:3" x14ac:dyDescent="0.3">
      <c r="A43">
        <f t="shared" si="0"/>
        <v>42</v>
      </c>
      <c r="B43" s="77">
        <v>2445322.5642748764</v>
      </c>
      <c r="C43" s="77">
        <v>348158.92006433272</v>
      </c>
    </row>
    <row r="44" spans="1:3" x14ac:dyDescent="0.3">
      <c r="A44">
        <f t="shared" si="0"/>
        <v>43</v>
      </c>
      <c r="B44" s="77">
        <v>2177784.7749141185</v>
      </c>
      <c r="C44" s="77">
        <v>310067.55772994825</v>
      </c>
    </row>
    <row r="45" spans="1:3" x14ac:dyDescent="0.3">
      <c r="A45">
        <f t="shared" si="0"/>
        <v>44</v>
      </c>
      <c r="B45" s="77">
        <v>1952753.3859847761</v>
      </c>
      <c r="C45" s="77">
        <v>278028.15053891815</v>
      </c>
    </row>
    <row r="46" spans="1:3" x14ac:dyDescent="0.3">
      <c r="A46">
        <f t="shared" si="0"/>
        <v>45</v>
      </c>
      <c r="B46" s="77">
        <v>2518539.391201668</v>
      </c>
      <c r="C46" s="77">
        <v>358583.34903979098</v>
      </c>
    </row>
    <row r="47" spans="1:3" x14ac:dyDescent="0.3">
      <c r="A47">
        <f t="shared" si="0"/>
        <v>46</v>
      </c>
      <c r="B47" s="77">
        <v>2297053.619749621</v>
      </c>
      <c r="C47" s="77">
        <v>327048.75801080471</v>
      </c>
    </row>
    <row r="48" spans="1:3" x14ac:dyDescent="0.3">
      <c r="A48">
        <f t="shared" si="0"/>
        <v>47</v>
      </c>
      <c r="B48" s="77">
        <v>2209792.1964079589</v>
      </c>
      <c r="C48" s="77">
        <v>314624.69447098341</v>
      </c>
    </row>
    <row r="49" spans="1:3" x14ac:dyDescent="0.3">
      <c r="A49">
        <f t="shared" si="0"/>
        <v>48</v>
      </c>
      <c r="B49" s="77">
        <v>2476216.7664925205</v>
      </c>
      <c r="C49" s="77">
        <v>352557.55942483508</v>
      </c>
    </row>
    <row r="50" spans="1:3" x14ac:dyDescent="0.3">
      <c r="A50">
        <f t="shared" si="0"/>
        <v>49</v>
      </c>
      <c r="B50" s="77">
        <v>2594587.4879580378</v>
      </c>
      <c r="C50" s="77">
        <v>369410.88714313193</v>
      </c>
    </row>
    <row r="51" spans="1:3" x14ac:dyDescent="0.3">
      <c r="A51">
        <f t="shared" si="0"/>
        <v>50</v>
      </c>
      <c r="B51" s="77">
        <v>2257995.7962316778</v>
      </c>
      <c r="C51" s="77">
        <v>321487.80263635376</v>
      </c>
    </row>
    <row r="52" spans="1:3" x14ac:dyDescent="0.3">
      <c r="A52">
        <f t="shared" si="0"/>
        <v>51</v>
      </c>
      <c r="B52" s="77">
        <v>2415483.7834405745</v>
      </c>
      <c r="C52" s="77">
        <v>343910.54896471568</v>
      </c>
    </row>
    <row r="53" spans="1:3" x14ac:dyDescent="0.3">
      <c r="A53">
        <f t="shared" si="0"/>
        <v>52</v>
      </c>
      <c r="B53" s="77">
        <v>2344378.2572892825</v>
      </c>
      <c r="C53" s="77">
        <v>333786.72172117943</v>
      </c>
    </row>
    <row r="54" spans="1:3" x14ac:dyDescent="0.3">
      <c r="A54">
        <f t="shared" si="0"/>
        <v>53</v>
      </c>
      <c r="B54" s="77">
        <v>2003943.380553216</v>
      </c>
      <c r="C54" s="77">
        <v>285316.45413020003</v>
      </c>
    </row>
    <row r="55" spans="1:3" x14ac:dyDescent="0.3">
      <c r="A55">
        <f t="shared" si="0"/>
        <v>54</v>
      </c>
      <c r="B55" s="77">
        <v>2760876.8179490324</v>
      </c>
      <c r="C55" s="77">
        <v>393086.74667745642</v>
      </c>
    </row>
    <row r="56" spans="1:3" x14ac:dyDescent="0.3">
      <c r="A56">
        <f t="shared" si="0"/>
        <v>55</v>
      </c>
      <c r="B56" s="77">
        <v>2214643.6018894827</v>
      </c>
      <c r="C56" s="77">
        <v>315315.42546816071</v>
      </c>
    </row>
    <row r="57" spans="1:3" x14ac:dyDescent="0.3">
      <c r="A57">
        <f t="shared" si="0"/>
        <v>56</v>
      </c>
      <c r="B57" s="77">
        <v>2357648.4159760457</v>
      </c>
      <c r="C57" s="77">
        <v>335676.09377579659</v>
      </c>
    </row>
    <row r="58" spans="1:3" x14ac:dyDescent="0.3">
      <c r="A58">
        <f t="shared" si="0"/>
        <v>57</v>
      </c>
      <c r="B58" s="77">
        <v>2581663.2510949336</v>
      </c>
      <c r="C58" s="77">
        <v>367570.76657390618</v>
      </c>
    </row>
    <row r="59" spans="1:3" x14ac:dyDescent="0.3">
      <c r="A59">
        <f t="shared" si="0"/>
        <v>58</v>
      </c>
      <c r="B59" s="77">
        <v>2470696.2977365134</v>
      </c>
      <c r="C59" s="77">
        <v>351771.56886947039</v>
      </c>
    </row>
    <row r="60" spans="1:3" x14ac:dyDescent="0.3">
      <c r="A60">
        <f t="shared" si="0"/>
        <v>59</v>
      </c>
      <c r="B60" s="77">
        <v>1813682.1646065882</v>
      </c>
      <c r="C60" s="77">
        <v>258227.53733784726</v>
      </c>
    </row>
    <row r="61" spans="1:3" x14ac:dyDescent="0.3">
      <c r="A61">
        <f t="shared" si="0"/>
        <v>60</v>
      </c>
      <c r="B61" s="77">
        <v>2295861.1155839227</v>
      </c>
      <c r="C61" s="77">
        <v>326878.9722457006</v>
      </c>
    </row>
    <row r="62" spans="1:3" x14ac:dyDescent="0.3">
      <c r="A62">
        <f t="shared" si="0"/>
        <v>61</v>
      </c>
      <c r="B62" s="77">
        <v>2485461.5466315225</v>
      </c>
      <c r="C62" s="77">
        <v>353873.80813428975</v>
      </c>
    </row>
    <row r="63" spans="1:3" x14ac:dyDescent="0.3">
      <c r="A63">
        <f t="shared" si="0"/>
        <v>62</v>
      </c>
      <c r="B63" s="77">
        <v>2686478.4988360326</v>
      </c>
      <c r="C63" s="77">
        <v>382494.09979503392</v>
      </c>
    </row>
    <row r="64" spans="1:3" x14ac:dyDescent="0.3">
      <c r="A64">
        <f t="shared" si="0"/>
        <v>63</v>
      </c>
      <c r="B64" s="77">
        <v>2509862.7017784701</v>
      </c>
      <c r="C64" s="77">
        <v>357347.98366777512</v>
      </c>
    </row>
    <row r="65" spans="1:3" x14ac:dyDescent="0.3">
      <c r="A65">
        <f t="shared" si="0"/>
        <v>64</v>
      </c>
      <c r="B65" s="77">
        <v>2192476.7073809849</v>
      </c>
      <c r="C65" s="77">
        <v>312159.35838481982</v>
      </c>
    </row>
    <row r="66" spans="1:3" x14ac:dyDescent="0.3">
      <c r="A66">
        <f t="shared" si="0"/>
        <v>65</v>
      </c>
      <c r="B66" s="77">
        <v>2338798.4532832126</v>
      </c>
      <c r="C66" s="77">
        <v>332992.28316108702</v>
      </c>
    </row>
    <row r="67" spans="1:3" x14ac:dyDescent="0.3">
      <c r="A67">
        <f t="shared" si="0"/>
        <v>66</v>
      </c>
      <c r="B67" s="77">
        <v>2291370.8086036001</v>
      </c>
      <c r="C67" s="77">
        <v>326239.65355136298</v>
      </c>
    </row>
    <row r="68" spans="1:3" x14ac:dyDescent="0.3">
      <c r="A68">
        <f t="shared" si="0"/>
        <v>67</v>
      </c>
      <c r="B68" s="77">
        <v>2366289.4297733004</v>
      </c>
      <c r="C68" s="77">
        <v>336906.37974128244</v>
      </c>
    </row>
    <row r="69" spans="1:3" x14ac:dyDescent="0.3">
      <c r="A69">
        <f t="shared" ref="A69:A132" si="1">A68+1</f>
        <v>68</v>
      </c>
      <c r="B69" s="77">
        <v>2697024.1667540139</v>
      </c>
      <c r="C69" s="77">
        <v>383995.56565778819</v>
      </c>
    </row>
    <row r="70" spans="1:3" x14ac:dyDescent="0.3">
      <c r="A70">
        <f t="shared" si="1"/>
        <v>69</v>
      </c>
      <c r="B70" s="77">
        <v>1889249.7304036091</v>
      </c>
      <c r="C70" s="77">
        <v>268986.65864321293</v>
      </c>
    </row>
    <row r="71" spans="1:3" x14ac:dyDescent="0.3">
      <c r="A71">
        <f t="shared" si="1"/>
        <v>70</v>
      </c>
      <c r="B71" s="77">
        <v>3150346.8952495595</v>
      </c>
      <c r="C71" s="77">
        <v>448538.5236705392</v>
      </c>
    </row>
    <row r="72" spans="1:3" x14ac:dyDescent="0.3">
      <c r="A72">
        <f t="shared" si="1"/>
        <v>71</v>
      </c>
      <c r="B72" s="77">
        <v>2397547.4881752189</v>
      </c>
      <c r="C72" s="77">
        <v>341356.82403665368</v>
      </c>
    </row>
    <row r="73" spans="1:3" x14ac:dyDescent="0.3">
      <c r="A73">
        <f t="shared" si="1"/>
        <v>72</v>
      </c>
      <c r="B73" s="77">
        <v>2302961.6042607073</v>
      </c>
      <c r="C73" s="77">
        <v>327889.92209164513</v>
      </c>
    </row>
    <row r="74" spans="1:3" x14ac:dyDescent="0.3">
      <c r="A74">
        <f t="shared" si="1"/>
        <v>73</v>
      </c>
      <c r="B74" s="77">
        <v>2680005.8410923006</v>
      </c>
      <c r="C74" s="77">
        <v>381572.53894947242</v>
      </c>
    </row>
    <row r="75" spans="1:3" x14ac:dyDescent="0.3">
      <c r="A75">
        <f t="shared" si="1"/>
        <v>74</v>
      </c>
      <c r="B75" s="77">
        <v>2530390.9662056025</v>
      </c>
      <c r="C75" s="77">
        <v>360270.74669223727</v>
      </c>
    </row>
    <row r="76" spans="1:3" x14ac:dyDescent="0.3">
      <c r="A76">
        <f t="shared" si="1"/>
        <v>75</v>
      </c>
      <c r="B76" s="77">
        <v>2445472.5516401692</v>
      </c>
      <c r="C76" s="77">
        <v>348180.27489084378</v>
      </c>
    </row>
    <row r="77" spans="1:3" x14ac:dyDescent="0.3">
      <c r="A77">
        <f t="shared" si="1"/>
        <v>76</v>
      </c>
      <c r="B77" s="77">
        <v>2427109.892610563</v>
      </c>
      <c r="C77" s="77">
        <v>345565.84535477433</v>
      </c>
    </row>
    <row r="78" spans="1:3" x14ac:dyDescent="0.3">
      <c r="A78">
        <f t="shared" si="1"/>
        <v>77</v>
      </c>
      <c r="B78" s="77">
        <v>2196993.8856986738</v>
      </c>
      <c r="C78" s="77">
        <v>312802.50295306655</v>
      </c>
    </row>
    <row r="79" spans="1:3" x14ac:dyDescent="0.3">
      <c r="A79">
        <f t="shared" si="1"/>
        <v>78</v>
      </c>
      <c r="B79" s="77">
        <v>2460496.2452702858</v>
      </c>
      <c r="C79" s="77">
        <v>350319.31087164074</v>
      </c>
    </row>
    <row r="80" spans="1:3" x14ac:dyDescent="0.3">
      <c r="A80">
        <f t="shared" si="1"/>
        <v>79</v>
      </c>
      <c r="B80" s="77">
        <v>2207543.0052627274</v>
      </c>
      <c r="C80" s="77">
        <v>314304.46025256888</v>
      </c>
    </row>
    <row r="81" spans="1:3" x14ac:dyDescent="0.3">
      <c r="A81">
        <f t="shared" si="1"/>
        <v>80</v>
      </c>
      <c r="B81" s="77">
        <v>2220157.1975088557</v>
      </c>
      <c r="C81" s="77">
        <v>316100.4374434955</v>
      </c>
    </row>
    <row r="82" spans="1:3" x14ac:dyDescent="0.3">
      <c r="A82">
        <f t="shared" si="1"/>
        <v>81</v>
      </c>
      <c r="B82" s="77">
        <v>2418579.213078951</v>
      </c>
      <c r="C82" s="77">
        <v>344351.26850649598</v>
      </c>
    </row>
    <row r="83" spans="1:3" x14ac:dyDescent="0.3">
      <c r="A83">
        <f t="shared" si="1"/>
        <v>82</v>
      </c>
      <c r="B83" s="77">
        <v>2891121.4956440642</v>
      </c>
      <c r="C83" s="77">
        <v>411630.65863120556</v>
      </c>
    </row>
    <row r="84" spans="1:3" x14ac:dyDescent="0.3">
      <c r="A84">
        <f t="shared" si="1"/>
        <v>83</v>
      </c>
      <c r="B84" s="77">
        <v>2701446.3740884955</v>
      </c>
      <c r="C84" s="77">
        <v>384625.18849461433</v>
      </c>
    </row>
    <row r="85" spans="1:3" x14ac:dyDescent="0.3">
      <c r="A85">
        <f t="shared" si="1"/>
        <v>84</v>
      </c>
      <c r="B85" s="77">
        <v>2165689.4260760695</v>
      </c>
      <c r="C85" s="77">
        <v>308345.45216777053</v>
      </c>
    </row>
    <row r="86" spans="1:3" x14ac:dyDescent="0.3">
      <c r="A86">
        <f t="shared" si="1"/>
        <v>85</v>
      </c>
      <c r="B86" s="77">
        <v>2038977.4076460486</v>
      </c>
      <c r="C86" s="77">
        <v>290304.51141816034</v>
      </c>
    </row>
    <row r="87" spans="1:3" x14ac:dyDescent="0.3">
      <c r="A87">
        <f t="shared" si="1"/>
        <v>86</v>
      </c>
      <c r="B87" s="77">
        <v>2625937.963589462</v>
      </c>
      <c r="C87" s="77">
        <v>373874.48957284918</v>
      </c>
    </row>
    <row r="88" spans="1:3" x14ac:dyDescent="0.3">
      <c r="A88">
        <f t="shared" si="1"/>
        <v>87</v>
      </c>
      <c r="B88" s="77">
        <v>2475826.0302115767</v>
      </c>
      <c r="C88" s="77">
        <v>352501.92736892932</v>
      </c>
    </row>
    <row r="89" spans="1:3" x14ac:dyDescent="0.3">
      <c r="A89">
        <f t="shared" si="1"/>
        <v>88</v>
      </c>
      <c r="B89" s="77">
        <v>2329719.1156220636</v>
      </c>
      <c r="C89" s="77">
        <v>331699.58973847411</v>
      </c>
    </row>
    <row r="90" spans="1:3" x14ac:dyDescent="0.3">
      <c r="A90">
        <f t="shared" si="1"/>
        <v>89</v>
      </c>
      <c r="B90" s="77">
        <v>2119410.4920052835</v>
      </c>
      <c r="C90" s="77">
        <v>301756.37310588761</v>
      </c>
    </row>
    <row r="91" spans="1:3" x14ac:dyDescent="0.3">
      <c r="A91">
        <f t="shared" si="1"/>
        <v>90</v>
      </c>
      <c r="B91" s="77">
        <v>2371297.1977692205</v>
      </c>
      <c r="C91" s="77">
        <v>337619.37324277952</v>
      </c>
    </row>
    <row r="92" spans="1:3" x14ac:dyDescent="0.3">
      <c r="A92">
        <f t="shared" si="1"/>
        <v>91</v>
      </c>
      <c r="B92" s="77">
        <v>2348581.2982659508</v>
      </c>
      <c r="C92" s="77">
        <v>334385.14019929821</v>
      </c>
    </row>
    <row r="93" spans="1:3" x14ac:dyDescent="0.3">
      <c r="A93">
        <f t="shared" si="1"/>
        <v>92</v>
      </c>
      <c r="B93" s="77">
        <v>2682484.7257502005</v>
      </c>
      <c r="C93" s="77">
        <v>381925.47635661339</v>
      </c>
    </row>
    <row r="94" spans="1:3" x14ac:dyDescent="0.3">
      <c r="A94">
        <f t="shared" si="1"/>
        <v>93</v>
      </c>
      <c r="B94" s="77">
        <v>2360882.0817269436</v>
      </c>
      <c r="C94" s="77">
        <v>336136.49503006443</v>
      </c>
    </row>
    <row r="95" spans="1:3" x14ac:dyDescent="0.3">
      <c r="A95">
        <f t="shared" si="1"/>
        <v>94</v>
      </c>
      <c r="B95" s="77">
        <v>2284013.2416169466</v>
      </c>
      <c r="C95" s="77">
        <v>325192.101537654</v>
      </c>
    </row>
    <row r="96" spans="1:3" x14ac:dyDescent="0.3">
      <c r="A96">
        <f t="shared" si="1"/>
        <v>95</v>
      </c>
      <c r="B96" s="77">
        <v>2324196.1717121806</v>
      </c>
      <c r="C96" s="77">
        <v>330913.24677688169</v>
      </c>
    </row>
    <row r="97" spans="1:3" x14ac:dyDescent="0.3">
      <c r="A97">
        <f t="shared" si="1"/>
        <v>96</v>
      </c>
      <c r="B97" s="77">
        <v>2141870.1610699431</v>
      </c>
      <c r="C97" s="77">
        <v>304954.12469939695</v>
      </c>
    </row>
    <row r="98" spans="1:3" x14ac:dyDescent="0.3">
      <c r="A98">
        <f t="shared" si="1"/>
        <v>97</v>
      </c>
      <c r="B98" s="77">
        <v>2885715.768318329</v>
      </c>
      <c r="C98" s="77">
        <v>410861.00467414228</v>
      </c>
    </row>
    <row r="99" spans="1:3" x14ac:dyDescent="0.3">
      <c r="A99">
        <f t="shared" si="1"/>
        <v>98</v>
      </c>
      <c r="B99" s="77">
        <v>2494181.0166909178</v>
      </c>
      <c r="C99" s="77">
        <v>355115.26450645243</v>
      </c>
    </row>
    <row r="100" spans="1:3" x14ac:dyDescent="0.3">
      <c r="A100">
        <f t="shared" si="1"/>
        <v>99</v>
      </c>
      <c r="B100" s="77">
        <v>2558128.3287577322</v>
      </c>
      <c r="C100" s="77">
        <v>364219.92310465302</v>
      </c>
    </row>
    <row r="101" spans="1:3" x14ac:dyDescent="0.3">
      <c r="A101">
        <f t="shared" si="1"/>
        <v>100</v>
      </c>
      <c r="B101" s="77">
        <v>2433319.0238037719</v>
      </c>
      <c r="C101" s="77">
        <v>346449.88594817003</v>
      </c>
    </row>
    <row r="102" spans="1:3" x14ac:dyDescent="0.3">
      <c r="A102">
        <f t="shared" si="1"/>
        <v>101</v>
      </c>
      <c r="B102" s="77">
        <v>2429595.7103539649</v>
      </c>
      <c r="C102" s="77">
        <v>345919.76987731527</v>
      </c>
    </row>
    <row r="103" spans="1:3" x14ac:dyDescent="0.3">
      <c r="A103">
        <f t="shared" si="1"/>
        <v>102</v>
      </c>
      <c r="B103" s="77">
        <v>1885373.2415195592</v>
      </c>
      <c r="C103" s="77">
        <v>268434.73383655149</v>
      </c>
    </row>
    <row r="104" spans="1:3" x14ac:dyDescent="0.3">
      <c r="A104">
        <f t="shared" si="1"/>
        <v>103</v>
      </c>
      <c r="B104" s="77">
        <v>2481181.8996905652</v>
      </c>
      <c r="C104" s="77">
        <v>353264.48269028141</v>
      </c>
    </row>
    <row r="105" spans="1:3" x14ac:dyDescent="0.3">
      <c r="A105">
        <f t="shared" si="1"/>
        <v>104</v>
      </c>
      <c r="B105" s="77">
        <v>2563796.3783802083</v>
      </c>
      <c r="C105" s="77">
        <v>365026.9258552359</v>
      </c>
    </row>
    <row r="106" spans="1:3" x14ac:dyDescent="0.3">
      <c r="A106">
        <f t="shared" si="1"/>
        <v>105</v>
      </c>
      <c r="B106" s="77">
        <v>2355245.8848800003</v>
      </c>
      <c r="C106" s="77">
        <v>335334.02739811683</v>
      </c>
    </row>
    <row r="107" spans="1:3" x14ac:dyDescent="0.3">
      <c r="A107">
        <f t="shared" si="1"/>
        <v>106</v>
      </c>
      <c r="B107" s="77">
        <v>2343263.6964695221</v>
      </c>
      <c r="C107" s="77">
        <v>333628.03333502414</v>
      </c>
    </row>
    <row r="108" spans="1:3" x14ac:dyDescent="0.3">
      <c r="A108">
        <f t="shared" si="1"/>
        <v>107</v>
      </c>
      <c r="B108" s="77">
        <v>2638954.6639042688</v>
      </c>
      <c r="C108" s="77">
        <v>375727.77485742187</v>
      </c>
    </row>
    <row r="109" spans="1:3" x14ac:dyDescent="0.3">
      <c r="A109">
        <f t="shared" si="1"/>
        <v>108</v>
      </c>
      <c r="B109" s="77">
        <v>2139984.9682834344</v>
      </c>
      <c r="C109" s="77">
        <v>304685.71565829421</v>
      </c>
    </row>
    <row r="110" spans="1:3" x14ac:dyDescent="0.3">
      <c r="A110">
        <f t="shared" si="1"/>
        <v>109</v>
      </c>
      <c r="B110" s="77">
        <v>2588338.4259537361</v>
      </c>
      <c r="C110" s="77">
        <v>368521.16130057094</v>
      </c>
    </row>
    <row r="111" spans="1:3" x14ac:dyDescent="0.3">
      <c r="A111">
        <f t="shared" si="1"/>
        <v>110</v>
      </c>
      <c r="B111" s="77">
        <v>2333153.2793137678</v>
      </c>
      <c r="C111" s="77">
        <v>332188.53738885594</v>
      </c>
    </row>
    <row r="112" spans="1:3" x14ac:dyDescent="0.3">
      <c r="A112">
        <f t="shared" si="1"/>
        <v>111</v>
      </c>
      <c r="B112" s="77">
        <v>2684833.8219155585</v>
      </c>
      <c r="C112" s="77">
        <v>382259.9348023035</v>
      </c>
    </row>
    <row r="113" spans="1:3" x14ac:dyDescent="0.3">
      <c r="A113">
        <f t="shared" si="1"/>
        <v>112</v>
      </c>
      <c r="B113" s="77">
        <v>2622198.7594509679</v>
      </c>
      <c r="C113" s="77">
        <v>373342.11102542258</v>
      </c>
    </row>
    <row r="114" spans="1:3" x14ac:dyDescent="0.3">
      <c r="A114">
        <f t="shared" si="1"/>
        <v>113</v>
      </c>
      <c r="B114" s="77">
        <v>2575929.3394126873</v>
      </c>
      <c r="C114" s="77">
        <v>366754.38654772867</v>
      </c>
    </row>
    <row r="115" spans="1:3" x14ac:dyDescent="0.3">
      <c r="A115">
        <f t="shared" si="1"/>
        <v>114</v>
      </c>
      <c r="B115" s="77">
        <v>2285074.2428330188</v>
      </c>
      <c r="C115" s="77">
        <v>325343.16424118902</v>
      </c>
    </row>
    <row r="116" spans="1:3" x14ac:dyDescent="0.3">
      <c r="A116">
        <f t="shared" si="1"/>
        <v>115</v>
      </c>
      <c r="B116" s="77">
        <v>2325657.3300064197</v>
      </c>
      <c r="C116" s="77">
        <v>331121.28284590482</v>
      </c>
    </row>
    <row r="117" spans="1:3" x14ac:dyDescent="0.3">
      <c r="A117">
        <f t="shared" si="1"/>
        <v>116</v>
      </c>
      <c r="B117" s="77">
        <v>2327398.4262527344</v>
      </c>
      <c r="C117" s="77">
        <v>331369.17578146304</v>
      </c>
    </row>
    <row r="118" spans="1:3" x14ac:dyDescent="0.3">
      <c r="A118">
        <f t="shared" si="1"/>
        <v>117</v>
      </c>
      <c r="B118" s="77">
        <v>2085128.754034939</v>
      </c>
      <c r="C118" s="77">
        <v>296875.42486451613</v>
      </c>
    </row>
    <row r="119" spans="1:3" x14ac:dyDescent="0.3">
      <c r="A119">
        <f t="shared" si="1"/>
        <v>118</v>
      </c>
      <c r="B119" s="77">
        <v>2257319.9954316136</v>
      </c>
      <c r="C119" s="77">
        <v>321391.58380609949</v>
      </c>
    </row>
    <row r="120" spans="1:3" x14ac:dyDescent="0.3">
      <c r="A120">
        <f t="shared" si="1"/>
        <v>119</v>
      </c>
      <c r="B120" s="77">
        <v>2143778.9260107148</v>
      </c>
      <c r="C120" s="77">
        <v>305225.88988495758</v>
      </c>
    </row>
    <row r="121" spans="1:3" x14ac:dyDescent="0.3">
      <c r="A121">
        <f t="shared" si="1"/>
        <v>120</v>
      </c>
      <c r="B121" s="77">
        <v>2429381.5512346993</v>
      </c>
      <c r="C121" s="77">
        <v>345889.27843672794</v>
      </c>
    </row>
    <row r="122" spans="1:3" x14ac:dyDescent="0.3">
      <c r="A122">
        <f t="shared" si="1"/>
        <v>121</v>
      </c>
      <c r="B122" s="77">
        <v>2156974.6942803171</v>
      </c>
      <c r="C122" s="77">
        <v>307104.67041775252</v>
      </c>
    </row>
    <row r="123" spans="1:3" x14ac:dyDescent="0.3">
      <c r="A123">
        <f t="shared" si="1"/>
        <v>122</v>
      </c>
      <c r="B123" s="77">
        <v>2203080.4712191182</v>
      </c>
      <c r="C123" s="77">
        <v>313669.09579960397</v>
      </c>
    </row>
    <row r="124" spans="1:3" x14ac:dyDescent="0.3">
      <c r="A124">
        <f t="shared" si="1"/>
        <v>123</v>
      </c>
      <c r="B124" s="77">
        <v>2263494.8399302489</v>
      </c>
      <c r="C124" s="77">
        <v>322270.74274554499</v>
      </c>
    </row>
    <row r="125" spans="1:3" x14ac:dyDescent="0.3">
      <c r="A125">
        <f t="shared" si="1"/>
        <v>124</v>
      </c>
      <c r="B125" s="77">
        <v>2417328.1852260651</v>
      </c>
      <c r="C125" s="77">
        <v>344173.1502849597</v>
      </c>
    </row>
    <row r="126" spans="1:3" x14ac:dyDescent="0.3">
      <c r="A126">
        <f t="shared" si="1"/>
        <v>125</v>
      </c>
      <c r="B126" s="77">
        <v>2761099.7124591786</v>
      </c>
      <c r="C126" s="77">
        <v>393118.48184118269</v>
      </c>
    </row>
    <row r="127" spans="1:3" x14ac:dyDescent="0.3">
      <c r="A127">
        <f t="shared" si="1"/>
        <v>126</v>
      </c>
      <c r="B127" s="77">
        <v>2493164.7901517912</v>
      </c>
      <c r="C127" s="77">
        <v>354970.57670960639</v>
      </c>
    </row>
    <row r="128" spans="1:3" x14ac:dyDescent="0.3">
      <c r="A128">
        <f t="shared" si="1"/>
        <v>127</v>
      </c>
      <c r="B128" s="77">
        <v>2691718.0875952798</v>
      </c>
      <c r="C128" s="77">
        <v>383240.09935789392</v>
      </c>
    </row>
    <row r="129" spans="1:3" x14ac:dyDescent="0.3">
      <c r="A129">
        <f t="shared" si="1"/>
        <v>128</v>
      </c>
      <c r="B129" s="77">
        <v>2581537.9926010142</v>
      </c>
      <c r="C129" s="77">
        <v>367552.93258234661</v>
      </c>
    </row>
    <row r="130" spans="1:3" x14ac:dyDescent="0.3">
      <c r="A130">
        <f t="shared" si="1"/>
        <v>129</v>
      </c>
      <c r="B130" s="77">
        <v>3053082.9895267733</v>
      </c>
      <c r="C130" s="77">
        <v>434690.33166821906</v>
      </c>
    </row>
    <row r="131" spans="1:3" x14ac:dyDescent="0.3">
      <c r="A131">
        <f t="shared" si="1"/>
        <v>130</v>
      </c>
      <c r="B131" s="77">
        <v>2045717.7867549749</v>
      </c>
      <c r="C131" s="77">
        <v>291264.18976312497</v>
      </c>
    </row>
    <row r="132" spans="1:3" x14ac:dyDescent="0.3">
      <c r="A132">
        <f t="shared" si="1"/>
        <v>131</v>
      </c>
      <c r="B132" s="77">
        <v>2517289.2137061264</v>
      </c>
      <c r="C132" s="77">
        <v>358405.35189000983</v>
      </c>
    </row>
    <row r="133" spans="1:3" x14ac:dyDescent="0.3">
      <c r="A133">
        <f t="shared" ref="A133:A196" si="2">A132+1</f>
        <v>132</v>
      </c>
      <c r="B133" s="77">
        <v>1994845.7657396195</v>
      </c>
      <c r="C133" s="77">
        <v>284021.15845226467</v>
      </c>
    </row>
    <row r="134" spans="1:3" x14ac:dyDescent="0.3">
      <c r="A134">
        <f t="shared" si="2"/>
        <v>133</v>
      </c>
      <c r="B134" s="77">
        <v>2280121.5966524892</v>
      </c>
      <c r="C134" s="77">
        <v>324638.018846113</v>
      </c>
    </row>
    <row r="135" spans="1:3" x14ac:dyDescent="0.3">
      <c r="A135">
        <f t="shared" si="2"/>
        <v>134</v>
      </c>
      <c r="B135" s="77">
        <v>2488023.6738932673</v>
      </c>
      <c r="C135" s="77">
        <v>354238.59741548664</v>
      </c>
    </row>
    <row r="136" spans="1:3" x14ac:dyDescent="0.3">
      <c r="A136">
        <f t="shared" si="2"/>
        <v>135</v>
      </c>
      <c r="B136" s="77">
        <v>2931183.0608177618</v>
      </c>
      <c r="C136" s="77">
        <v>417334.52423598611</v>
      </c>
    </row>
    <row r="137" spans="1:3" x14ac:dyDescent="0.3">
      <c r="A137">
        <f t="shared" si="2"/>
        <v>136</v>
      </c>
      <c r="B137" s="77">
        <v>2196424.2741334294</v>
      </c>
      <c r="C137" s="77">
        <v>312721.40308088245</v>
      </c>
    </row>
    <row r="138" spans="1:3" x14ac:dyDescent="0.3">
      <c r="A138">
        <f t="shared" si="2"/>
        <v>137</v>
      </c>
      <c r="B138" s="77">
        <v>2580470.3568458105</v>
      </c>
      <c r="C138" s="77">
        <v>367400.9252696982</v>
      </c>
    </row>
    <row r="139" spans="1:3" x14ac:dyDescent="0.3">
      <c r="A139">
        <f t="shared" si="2"/>
        <v>138</v>
      </c>
      <c r="B139" s="77">
        <v>2083605.5567686437</v>
      </c>
      <c r="C139" s="77">
        <v>296658.55584157986</v>
      </c>
    </row>
    <row r="140" spans="1:3" x14ac:dyDescent="0.3">
      <c r="A140">
        <f t="shared" si="2"/>
        <v>139</v>
      </c>
      <c r="B140" s="77">
        <v>2300077.8617170854</v>
      </c>
      <c r="C140" s="77">
        <v>327479.34202977555</v>
      </c>
    </row>
    <row r="141" spans="1:3" x14ac:dyDescent="0.3">
      <c r="A141">
        <f t="shared" si="2"/>
        <v>140</v>
      </c>
      <c r="B141" s="77">
        <v>2293186.9694349254</v>
      </c>
      <c r="C141" s="77">
        <v>326498.23399507831</v>
      </c>
    </row>
    <row r="142" spans="1:3" x14ac:dyDescent="0.3">
      <c r="A142">
        <f t="shared" si="2"/>
        <v>141</v>
      </c>
      <c r="B142" s="77">
        <v>1895561.0355427056</v>
      </c>
      <c r="C142" s="77">
        <v>269885.24650786788</v>
      </c>
    </row>
    <row r="143" spans="1:3" x14ac:dyDescent="0.3">
      <c r="A143">
        <f t="shared" si="2"/>
        <v>142</v>
      </c>
      <c r="B143" s="77">
        <v>2213835.6651582452</v>
      </c>
      <c r="C143" s="77">
        <v>315200.39345400536</v>
      </c>
    </row>
    <row r="144" spans="1:3" x14ac:dyDescent="0.3">
      <c r="A144">
        <f t="shared" si="2"/>
        <v>143</v>
      </c>
      <c r="B144" s="77">
        <v>2572146.9763464797</v>
      </c>
      <c r="C144" s="77">
        <v>366215.86313995387</v>
      </c>
    </row>
    <row r="145" spans="1:3" x14ac:dyDescent="0.3">
      <c r="A145">
        <f t="shared" si="2"/>
        <v>144</v>
      </c>
      <c r="B145" s="77">
        <v>2008017.4386082082</v>
      </c>
      <c r="C145" s="77">
        <v>285896.5083420361</v>
      </c>
    </row>
    <row r="146" spans="1:3" x14ac:dyDescent="0.3">
      <c r="A146">
        <f t="shared" si="2"/>
        <v>145</v>
      </c>
      <c r="B146" s="77">
        <v>1720986.7138118157</v>
      </c>
      <c r="C146" s="77">
        <v>245029.79053950025</v>
      </c>
    </row>
    <row r="147" spans="1:3" x14ac:dyDescent="0.3">
      <c r="A147">
        <f t="shared" si="2"/>
        <v>146</v>
      </c>
      <c r="B147" s="77">
        <v>2459151.9568781019</v>
      </c>
      <c r="C147" s="77">
        <v>350127.91444741626</v>
      </c>
    </row>
    <row r="148" spans="1:3" x14ac:dyDescent="0.3">
      <c r="A148">
        <f t="shared" si="2"/>
        <v>147</v>
      </c>
      <c r="B148" s="77">
        <v>2381602.8875891045</v>
      </c>
      <c r="C148" s="77">
        <v>339086.67162321741</v>
      </c>
    </row>
    <row r="149" spans="1:3" x14ac:dyDescent="0.3">
      <c r="A149">
        <f t="shared" si="2"/>
        <v>148</v>
      </c>
      <c r="B149" s="77">
        <v>2503990.706355087</v>
      </c>
      <c r="C149" s="77">
        <v>356511.94362336735</v>
      </c>
    </row>
    <row r="150" spans="1:3" x14ac:dyDescent="0.3">
      <c r="A150">
        <f t="shared" si="2"/>
        <v>149</v>
      </c>
      <c r="B150" s="77">
        <v>2581176.2201619744</v>
      </c>
      <c r="C150" s="77">
        <v>367501.42432592053</v>
      </c>
    </row>
    <row r="151" spans="1:3" x14ac:dyDescent="0.3">
      <c r="A151">
        <f t="shared" si="2"/>
        <v>150</v>
      </c>
      <c r="B151" s="77">
        <v>2058305.0866830514</v>
      </c>
      <c r="C151" s="77">
        <v>293056.33809296484</v>
      </c>
    </row>
    <row r="152" spans="1:3" x14ac:dyDescent="0.3">
      <c r="A152">
        <f t="shared" si="2"/>
        <v>151</v>
      </c>
      <c r="B152" s="77">
        <v>2456204.9152157661</v>
      </c>
      <c r="C152" s="77">
        <v>349708.32201509934</v>
      </c>
    </row>
    <row r="153" spans="1:3" x14ac:dyDescent="0.3">
      <c r="A153">
        <f t="shared" si="2"/>
        <v>152</v>
      </c>
      <c r="B153" s="77">
        <v>1767218.1551492452</v>
      </c>
      <c r="C153" s="77">
        <v>251612.1077046101</v>
      </c>
    </row>
    <row r="154" spans="1:3" x14ac:dyDescent="0.3">
      <c r="A154">
        <f t="shared" si="2"/>
        <v>153</v>
      </c>
      <c r="B154" s="77">
        <v>2083887.0009222431</v>
      </c>
      <c r="C154" s="77">
        <v>296698.62715732655</v>
      </c>
    </row>
    <row r="155" spans="1:3" x14ac:dyDescent="0.3">
      <c r="A155">
        <f t="shared" si="2"/>
        <v>154</v>
      </c>
      <c r="B155" s="77">
        <v>2207213.405209484</v>
      </c>
      <c r="C155" s="77">
        <v>314257.5326200893</v>
      </c>
    </row>
    <row r="156" spans="1:3" x14ac:dyDescent="0.3">
      <c r="A156">
        <f t="shared" si="2"/>
        <v>155</v>
      </c>
      <c r="B156" s="77">
        <v>2120276.8048786931</v>
      </c>
      <c r="C156" s="77">
        <v>301879.71656938427</v>
      </c>
    </row>
    <row r="157" spans="1:3" x14ac:dyDescent="0.3">
      <c r="A157">
        <f t="shared" si="2"/>
        <v>156</v>
      </c>
      <c r="B157" s="77">
        <v>2568556.4313747305</v>
      </c>
      <c r="C157" s="77">
        <v>365704.65031344589</v>
      </c>
    </row>
    <row r="158" spans="1:3" x14ac:dyDescent="0.3">
      <c r="A158">
        <f t="shared" si="2"/>
        <v>157</v>
      </c>
      <c r="B158" s="77">
        <v>2325169.8265401316</v>
      </c>
      <c r="C158" s="77">
        <v>331051.87331980374</v>
      </c>
    </row>
    <row r="159" spans="1:3" x14ac:dyDescent="0.3">
      <c r="A159">
        <f t="shared" si="2"/>
        <v>158</v>
      </c>
      <c r="B159" s="77">
        <v>2430284.180128519</v>
      </c>
      <c r="C159" s="77">
        <v>346017.79248451954</v>
      </c>
    </row>
    <row r="160" spans="1:3" x14ac:dyDescent="0.3">
      <c r="A160">
        <f t="shared" si="2"/>
        <v>159</v>
      </c>
      <c r="B160" s="77">
        <v>2381929.3944862573</v>
      </c>
      <c r="C160" s="77">
        <v>339133.15885985736</v>
      </c>
    </row>
    <row r="161" spans="1:3" x14ac:dyDescent="0.3">
      <c r="A161">
        <f t="shared" si="2"/>
        <v>160</v>
      </c>
      <c r="B161" s="77">
        <v>2047331.6856930365</v>
      </c>
      <c r="C161" s="77">
        <v>291493.97266358056</v>
      </c>
    </row>
    <row r="162" spans="1:3" x14ac:dyDescent="0.3">
      <c r="A162">
        <f t="shared" si="2"/>
        <v>161</v>
      </c>
      <c r="B162" s="77">
        <v>2179304.6771159275</v>
      </c>
      <c r="C162" s="77">
        <v>310283.9576098317</v>
      </c>
    </row>
    <row r="163" spans="1:3" x14ac:dyDescent="0.3">
      <c r="A163">
        <f t="shared" si="2"/>
        <v>162</v>
      </c>
      <c r="B163" s="77">
        <v>2301346.6880651596</v>
      </c>
      <c r="C163" s="77">
        <v>327659.99435660901</v>
      </c>
    </row>
    <row r="164" spans="1:3" x14ac:dyDescent="0.3">
      <c r="A164">
        <f t="shared" si="2"/>
        <v>163</v>
      </c>
      <c r="B164" s="77">
        <v>2583642.8364122636</v>
      </c>
      <c r="C164" s="77">
        <v>367852.61498782336</v>
      </c>
    </row>
    <row r="165" spans="1:3" x14ac:dyDescent="0.3">
      <c r="A165">
        <f t="shared" si="2"/>
        <v>164</v>
      </c>
      <c r="B165" s="77">
        <v>2436191.1254439927</v>
      </c>
      <c r="C165" s="77">
        <v>346858.80860728381</v>
      </c>
    </row>
    <row r="166" spans="1:3" x14ac:dyDescent="0.3">
      <c r="A166">
        <f t="shared" si="2"/>
        <v>165</v>
      </c>
      <c r="B166" s="77">
        <v>1993252.9895195118</v>
      </c>
      <c r="C166" s="77">
        <v>283794.38295164215</v>
      </c>
    </row>
    <row r="167" spans="1:3" x14ac:dyDescent="0.3">
      <c r="A167">
        <f t="shared" si="2"/>
        <v>166</v>
      </c>
      <c r="B167" s="77">
        <v>2491955.0140014933</v>
      </c>
      <c r="C167" s="77">
        <v>354798.33180246782</v>
      </c>
    </row>
    <row r="168" spans="1:3" x14ac:dyDescent="0.3">
      <c r="A168">
        <f t="shared" si="2"/>
        <v>167</v>
      </c>
      <c r="B168" s="77">
        <v>2448322.4670155281</v>
      </c>
      <c r="C168" s="77">
        <v>348586.03872497164</v>
      </c>
    </row>
    <row r="169" spans="1:3" x14ac:dyDescent="0.3">
      <c r="A169">
        <f t="shared" si="2"/>
        <v>168</v>
      </c>
      <c r="B169" s="77">
        <v>2572462.4066971997</v>
      </c>
      <c r="C169" s="77">
        <v>366260.77332557377</v>
      </c>
    </row>
    <row r="170" spans="1:3" x14ac:dyDescent="0.3">
      <c r="A170">
        <f t="shared" si="2"/>
        <v>169</v>
      </c>
      <c r="B170" s="77">
        <v>2330760.7347576488</v>
      </c>
      <c r="C170" s="77">
        <v>331847.89286979177</v>
      </c>
    </row>
    <row r="171" spans="1:3" x14ac:dyDescent="0.3">
      <c r="A171">
        <f t="shared" si="2"/>
        <v>170</v>
      </c>
      <c r="B171" s="77">
        <v>2505873.8967256439</v>
      </c>
      <c r="C171" s="77">
        <v>356780.06756548741</v>
      </c>
    </row>
    <row r="172" spans="1:3" x14ac:dyDescent="0.3">
      <c r="A172">
        <f t="shared" si="2"/>
        <v>171</v>
      </c>
      <c r="B172" s="77">
        <v>2381525.9907884239</v>
      </c>
      <c r="C172" s="77">
        <v>339075.72324876883</v>
      </c>
    </row>
    <row r="173" spans="1:3" x14ac:dyDescent="0.3">
      <c r="A173">
        <f t="shared" si="2"/>
        <v>172</v>
      </c>
      <c r="B173" s="77">
        <v>2513518.4529008199</v>
      </c>
      <c r="C173" s="77">
        <v>357868.48038316809</v>
      </c>
    </row>
    <row r="174" spans="1:3" x14ac:dyDescent="0.3">
      <c r="A174">
        <f t="shared" si="2"/>
        <v>173</v>
      </c>
      <c r="B174" s="77">
        <v>2432248.3414886096</v>
      </c>
      <c r="C174" s="77">
        <v>346297.4448739228</v>
      </c>
    </row>
    <row r="175" spans="1:3" x14ac:dyDescent="0.3">
      <c r="A175">
        <f t="shared" si="2"/>
        <v>174</v>
      </c>
      <c r="B175" s="77">
        <v>2401171.0073494944</v>
      </c>
      <c r="C175" s="77">
        <v>341872.73164777178</v>
      </c>
    </row>
    <row r="176" spans="1:3" x14ac:dyDescent="0.3">
      <c r="A176">
        <f t="shared" si="2"/>
        <v>175</v>
      </c>
      <c r="B176" s="77">
        <v>2544821.1191416732</v>
      </c>
      <c r="C176" s="77">
        <v>362325.2758312489</v>
      </c>
    </row>
    <row r="177" spans="1:3" x14ac:dyDescent="0.3">
      <c r="A177">
        <f t="shared" si="2"/>
        <v>176</v>
      </c>
      <c r="B177" s="77">
        <v>2738286.950110476</v>
      </c>
      <c r="C177" s="77">
        <v>389870.4577076615</v>
      </c>
    </row>
    <row r="178" spans="1:3" x14ac:dyDescent="0.3">
      <c r="A178">
        <f t="shared" si="2"/>
        <v>177</v>
      </c>
      <c r="B178" s="77">
        <v>2065971.9019709241</v>
      </c>
      <c r="C178" s="77">
        <v>294147.92010752414</v>
      </c>
    </row>
    <row r="179" spans="1:3" x14ac:dyDescent="0.3">
      <c r="A179">
        <f t="shared" si="2"/>
        <v>178</v>
      </c>
      <c r="B179" s="77">
        <v>2395936.5216592103</v>
      </c>
      <c r="C179" s="77">
        <v>341127.45864712697</v>
      </c>
    </row>
    <row r="180" spans="1:3" x14ac:dyDescent="0.3">
      <c r="A180">
        <f t="shared" si="2"/>
        <v>179</v>
      </c>
      <c r="B180" s="77">
        <v>2378300.1635265746</v>
      </c>
      <c r="C180" s="77">
        <v>338616.43801899685</v>
      </c>
    </row>
    <row r="181" spans="1:3" x14ac:dyDescent="0.3">
      <c r="A181">
        <f t="shared" si="2"/>
        <v>180</v>
      </c>
      <c r="B181" s="77">
        <v>2600161.4364920235</v>
      </c>
      <c r="C181" s="77">
        <v>370204.4920157317</v>
      </c>
    </row>
    <row r="182" spans="1:3" x14ac:dyDescent="0.3">
      <c r="A182">
        <f t="shared" si="2"/>
        <v>181</v>
      </c>
      <c r="B182" s="77">
        <v>2279133.1910621752</v>
      </c>
      <c r="C182" s="77">
        <v>324497.29212648235</v>
      </c>
    </row>
    <row r="183" spans="1:3" x14ac:dyDescent="0.3">
      <c r="A183">
        <f t="shared" si="2"/>
        <v>182</v>
      </c>
      <c r="B183" s="77">
        <v>2578983.3616724848</v>
      </c>
      <c r="C183" s="77">
        <v>367189.21061035246</v>
      </c>
    </row>
    <row r="184" spans="1:3" x14ac:dyDescent="0.3">
      <c r="A184">
        <f t="shared" si="2"/>
        <v>183</v>
      </c>
      <c r="B184" s="77">
        <v>2434770.3464088566</v>
      </c>
      <c r="C184" s="77">
        <v>346656.52163633372</v>
      </c>
    </row>
    <row r="185" spans="1:3" x14ac:dyDescent="0.3">
      <c r="A185">
        <f t="shared" si="2"/>
        <v>184</v>
      </c>
      <c r="B185" s="77">
        <v>2077102.8800044174</v>
      </c>
      <c r="C185" s="77">
        <v>295732.72096284607</v>
      </c>
    </row>
    <row r="186" spans="1:3" x14ac:dyDescent="0.3">
      <c r="A186">
        <f t="shared" si="2"/>
        <v>185</v>
      </c>
      <c r="B186" s="77">
        <v>2067051.7380287673</v>
      </c>
      <c r="C186" s="77">
        <v>294301.66446879477</v>
      </c>
    </row>
    <row r="187" spans="1:3" x14ac:dyDescent="0.3">
      <c r="A187">
        <f t="shared" si="2"/>
        <v>186</v>
      </c>
      <c r="B187" s="77">
        <v>2628286.3518006932</v>
      </c>
      <c r="C187" s="77">
        <v>374208.84722179867</v>
      </c>
    </row>
    <row r="188" spans="1:3" x14ac:dyDescent="0.3">
      <c r="A188">
        <f t="shared" si="2"/>
        <v>187</v>
      </c>
      <c r="B188" s="77">
        <v>2642365.6663486543</v>
      </c>
      <c r="C188" s="77">
        <v>376213.42486725049</v>
      </c>
    </row>
    <row r="189" spans="1:3" x14ac:dyDescent="0.3">
      <c r="A189">
        <f t="shared" si="2"/>
        <v>188</v>
      </c>
      <c r="B189" s="77">
        <v>2134140.1107597849</v>
      </c>
      <c r="C189" s="77">
        <v>303853.53944027977</v>
      </c>
    </row>
    <row r="190" spans="1:3" x14ac:dyDescent="0.3">
      <c r="A190">
        <f t="shared" si="2"/>
        <v>189</v>
      </c>
      <c r="B190" s="77">
        <v>2214934.6765143811</v>
      </c>
      <c r="C190" s="77">
        <v>315356.86794636102</v>
      </c>
    </row>
    <row r="191" spans="1:3" x14ac:dyDescent="0.3">
      <c r="A191">
        <f t="shared" si="2"/>
        <v>190</v>
      </c>
      <c r="B191" s="77">
        <v>2523437.8624575404</v>
      </c>
      <c r="C191" s="77">
        <v>359280.78114438383</v>
      </c>
    </row>
    <row r="192" spans="1:3" x14ac:dyDescent="0.3">
      <c r="A192">
        <f t="shared" si="2"/>
        <v>191</v>
      </c>
      <c r="B192" s="77">
        <v>2528716.167244317</v>
      </c>
      <c r="C192" s="77">
        <v>360032.29299855902</v>
      </c>
    </row>
    <row r="193" spans="1:3" x14ac:dyDescent="0.3">
      <c r="A193">
        <f t="shared" si="2"/>
        <v>192</v>
      </c>
      <c r="B193" s="77">
        <v>2561186.2458041203</v>
      </c>
      <c r="C193" s="77">
        <v>364655.30169726518</v>
      </c>
    </row>
    <row r="194" spans="1:3" x14ac:dyDescent="0.3">
      <c r="A194">
        <f t="shared" si="2"/>
        <v>193</v>
      </c>
      <c r="B194" s="77">
        <v>2339482.1008246359</v>
      </c>
      <c r="C194" s="77">
        <v>333089.61919078056</v>
      </c>
    </row>
    <row r="195" spans="1:3" x14ac:dyDescent="0.3">
      <c r="A195">
        <f t="shared" si="2"/>
        <v>194</v>
      </c>
      <c r="B195" s="77">
        <v>2532627.5750443069</v>
      </c>
      <c r="C195" s="77">
        <v>360589.18947326991</v>
      </c>
    </row>
    <row r="196" spans="1:3" x14ac:dyDescent="0.3">
      <c r="A196">
        <f t="shared" si="2"/>
        <v>195</v>
      </c>
      <c r="B196" s="77">
        <v>2684109.2030958552</v>
      </c>
      <c r="C196" s="77">
        <v>382156.76538432488</v>
      </c>
    </row>
    <row r="197" spans="1:3" x14ac:dyDescent="0.3">
      <c r="A197">
        <f t="shared" ref="A197:A260" si="3">A196+1</f>
        <v>196</v>
      </c>
      <c r="B197" s="77">
        <v>2195804.5208868389</v>
      </c>
      <c r="C197" s="77">
        <v>312633.16416132567</v>
      </c>
    </row>
    <row r="198" spans="1:3" x14ac:dyDescent="0.3">
      <c r="A198">
        <f t="shared" si="3"/>
        <v>197</v>
      </c>
      <c r="B198" s="77">
        <v>1837336.3565190381</v>
      </c>
      <c r="C198" s="77">
        <v>261595.36211137573</v>
      </c>
    </row>
    <row r="199" spans="1:3" x14ac:dyDescent="0.3">
      <c r="A199">
        <f t="shared" si="3"/>
        <v>198</v>
      </c>
      <c r="B199" s="77">
        <v>2408417.8135220483</v>
      </c>
      <c r="C199" s="77">
        <v>342904.51381336921</v>
      </c>
    </row>
    <row r="200" spans="1:3" x14ac:dyDescent="0.3">
      <c r="A200">
        <f t="shared" si="3"/>
        <v>199</v>
      </c>
      <c r="B200" s="77">
        <v>2220510.1750830412</v>
      </c>
      <c r="C200" s="77">
        <v>316150.69350902684</v>
      </c>
    </row>
    <row r="201" spans="1:3" x14ac:dyDescent="0.3">
      <c r="A201">
        <f t="shared" si="3"/>
        <v>200</v>
      </c>
      <c r="B201" s="77">
        <v>1839422.2892355237</v>
      </c>
      <c r="C201" s="77">
        <v>261892.35200240623</v>
      </c>
    </row>
    <row r="202" spans="1:3" x14ac:dyDescent="0.3">
      <c r="A202">
        <f t="shared" si="3"/>
        <v>201</v>
      </c>
      <c r="B202" s="77">
        <v>2532112.2544570998</v>
      </c>
      <c r="C202" s="77">
        <v>360515.81941495941</v>
      </c>
    </row>
    <row r="203" spans="1:3" x14ac:dyDescent="0.3">
      <c r="A203">
        <f t="shared" si="3"/>
        <v>202</v>
      </c>
      <c r="B203" s="77">
        <v>2665567.844337773</v>
      </c>
      <c r="C203" s="77">
        <v>379516.89302717702</v>
      </c>
    </row>
    <row r="204" spans="1:3" x14ac:dyDescent="0.3">
      <c r="A204">
        <f t="shared" si="3"/>
        <v>203</v>
      </c>
      <c r="B204" s="77">
        <v>2414782.6490967311</v>
      </c>
      <c r="C204" s="77">
        <v>343810.72320776281</v>
      </c>
    </row>
    <row r="205" spans="1:3" x14ac:dyDescent="0.3">
      <c r="A205">
        <f t="shared" si="3"/>
        <v>204</v>
      </c>
      <c r="B205" s="77">
        <v>2603546.0191249852</v>
      </c>
      <c r="C205" s="77">
        <v>370686.38043878711</v>
      </c>
    </row>
    <row r="206" spans="1:3" x14ac:dyDescent="0.3">
      <c r="A206">
        <f t="shared" si="3"/>
        <v>205</v>
      </c>
      <c r="B206" s="77">
        <v>2687446.0401776638</v>
      </c>
      <c r="C206" s="77">
        <v>382631.85591504088</v>
      </c>
    </row>
    <row r="207" spans="1:3" x14ac:dyDescent="0.3">
      <c r="A207">
        <f t="shared" si="3"/>
        <v>206</v>
      </c>
      <c r="B207" s="77">
        <v>2646007.0104738949</v>
      </c>
      <c r="C207" s="77">
        <v>376731.87035037315</v>
      </c>
    </row>
    <row r="208" spans="1:3" x14ac:dyDescent="0.3">
      <c r="A208">
        <f t="shared" si="3"/>
        <v>207</v>
      </c>
      <c r="B208" s="77">
        <v>2393828.0489651458</v>
      </c>
      <c r="C208" s="77">
        <v>340827.25957037724</v>
      </c>
    </row>
    <row r="209" spans="1:3" x14ac:dyDescent="0.3">
      <c r="A209">
        <f t="shared" si="3"/>
        <v>208</v>
      </c>
      <c r="B209" s="77">
        <v>2479728.1977599333</v>
      </c>
      <c r="C209" s="77">
        <v>353057.50823968812</v>
      </c>
    </row>
    <row r="210" spans="1:3" x14ac:dyDescent="0.3">
      <c r="A210">
        <f t="shared" si="3"/>
        <v>209</v>
      </c>
      <c r="B210" s="77">
        <v>2494646.357951351</v>
      </c>
      <c r="C210" s="77">
        <v>355181.5186330289</v>
      </c>
    </row>
    <row r="211" spans="1:3" x14ac:dyDescent="0.3">
      <c r="A211">
        <f t="shared" si="3"/>
        <v>210</v>
      </c>
      <c r="B211" s="77">
        <v>2614768.1875112485</v>
      </c>
      <c r="C211" s="77">
        <v>372284.1647488093</v>
      </c>
    </row>
    <row r="212" spans="1:3" x14ac:dyDescent="0.3">
      <c r="A212">
        <f t="shared" si="3"/>
        <v>211</v>
      </c>
      <c r="B212" s="77">
        <v>2452393.9816748123</v>
      </c>
      <c r="C212" s="77">
        <v>349165.73081447842</v>
      </c>
    </row>
    <row r="213" spans="1:3" x14ac:dyDescent="0.3">
      <c r="A213">
        <f t="shared" si="3"/>
        <v>212</v>
      </c>
      <c r="B213" s="77">
        <v>2061755.8920746301</v>
      </c>
      <c r="C213" s="77">
        <v>293547.65514701593</v>
      </c>
    </row>
    <row r="214" spans="1:3" x14ac:dyDescent="0.3">
      <c r="A214">
        <f t="shared" si="3"/>
        <v>213</v>
      </c>
      <c r="B214" s="77">
        <v>2217403.2608578992</v>
      </c>
      <c r="C214" s="77">
        <v>315708.33882046299</v>
      </c>
    </row>
    <row r="215" spans="1:3" x14ac:dyDescent="0.3">
      <c r="A215">
        <f t="shared" si="3"/>
        <v>214</v>
      </c>
      <c r="B215" s="77">
        <v>2018103.2778537683</v>
      </c>
      <c r="C215" s="77">
        <v>287332.50494672859</v>
      </c>
    </row>
    <row r="216" spans="1:3" x14ac:dyDescent="0.3">
      <c r="A216">
        <f t="shared" si="3"/>
        <v>215</v>
      </c>
      <c r="B216" s="77">
        <v>2273641.7565536168</v>
      </c>
      <c r="C216" s="77">
        <v>323715.4353947629</v>
      </c>
    </row>
    <row r="217" spans="1:3" x14ac:dyDescent="0.3">
      <c r="A217">
        <f t="shared" si="3"/>
        <v>216</v>
      </c>
      <c r="B217" s="77">
        <v>2186226.1165743922</v>
      </c>
      <c r="C217" s="77">
        <v>311269.41487520654</v>
      </c>
    </row>
    <row r="218" spans="1:3" x14ac:dyDescent="0.3">
      <c r="A218">
        <f t="shared" si="3"/>
        <v>217</v>
      </c>
      <c r="B218" s="77">
        <v>2235286.2900098129</v>
      </c>
      <c r="C218" s="77">
        <v>318254.47985231312</v>
      </c>
    </row>
    <row r="219" spans="1:3" x14ac:dyDescent="0.3">
      <c r="A219">
        <f t="shared" si="3"/>
        <v>218</v>
      </c>
      <c r="B219" s="77">
        <v>2529233.0846295566</v>
      </c>
      <c r="C219" s="77">
        <v>360105.89040498581</v>
      </c>
    </row>
    <row r="220" spans="1:3" x14ac:dyDescent="0.3">
      <c r="A220">
        <f t="shared" si="3"/>
        <v>219</v>
      </c>
      <c r="B220" s="77">
        <v>2779760.1294388333</v>
      </c>
      <c r="C220" s="77">
        <v>395775.30541059724</v>
      </c>
    </row>
    <row r="221" spans="1:3" x14ac:dyDescent="0.3">
      <c r="A221">
        <f t="shared" si="3"/>
        <v>220</v>
      </c>
      <c r="B221" s="77">
        <v>2439766.8628924219</v>
      </c>
      <c r="C221" s="77">
        <v>347367.91317559988</v>
      </c>
    </row>
    <row r="222" spans="1:3" x14ac:dyDescent="0.3">
      <c r="A222">
        <f t="shared" si="3"/>
        <v>221</v>
      </c>
      <c r="B222" s="77">
        <v>2372617.023950147</v>
      </c>
      <c r="C222" s="77">
        <v>337807.28679845406</v>
      </c>
    </row>
    <row r="223" spans="1:3" x14ac:dyDescent="0.3">
      <c r="A223">
        <f t="shared" si="3"/>
        <v>222</v>
      </c>
      <c r="B223" s="77">
        <v>3075476.5638528648</v>
      </c>
      <c r="C223" s="77">
        <v>437878.6728579076</v>
      </c>
    </row>
    <row r="224" spans="1:3" x14ac:dyDescent="0.3">
      <c r="A224">
        <f t="shared" si="3"/>
        <v>223</v>
      </c>
      <c r="B224" s="77">
        <v>3049301.3756537666</v>
      </c>
      <c r="C224" s="77">
        <v>434151.91492870112</v>
      </c>
    </row>
    <row r="225" spans="1:3" x14ac:dyDescent="0.3">
      <c r="A225">
        <f t="shared" si="3"/>
        <v>224</v>
      </c>
      <c r="B225" s="77">
        <v>1856623.494871181</v>
      </c>
      <c r="C225" s="77">
        <v>264341.41670471098</v>
      </c>
    </row>
    <row r="226" spans="1:3" x14ac:dyDescent="0.3">
      <c r="A226">
        <f t="shared" si="3"/>
        <v>225</v>
      </c>
      <c r="B226" s="77">
        <v>2158247.4504116881</v>
      </c>
      <c r="C226" s="77">
        <v>307285.88225731807</v>
      </c>
    </row>
    <row r="227" spans="1:3" x14ac:dyDescent="0.3">
      <c r="A227">
        <f t="shared" si="3"/>
        <v>226</v>
      </c>
      <c r="B227" s="77">
        <v>2352491.5817477605</v>
      </c>
      <c r="C227" s="77">
        <v>334941.87659639434</v>
      </c>
    </row>
    <row r="228" spans="1:3" x14ac:dyDescent="0.3">
      <c r="A228">
        <f t="shared" si="3"/>
        <v>227</v>
      </c>
      <c r="B228" s="77">
        <v>2677817.1252154931</v>
      </c>
      <c r="C228" s="77">
        <v>381260.91504875285</v>
      </c>
    </row>
    <row r="229" spans="1:3" x14ac:dyDescent="0.3">
      <c r="A229">
        <f t="shared" si="3"/>
        <v>228</v>
      </c>
      <c r="B229" s="77">
        <v>2222096.01570745</v>
      </c>
      <c r="C229" s="77">
        <v>316376.48153685377</v>
      </c>
    </row>
    <row r="230" spans="1:3" x14ac:dyDescent="0.3">
      <c r="A230">
        <f t="shared" si="3"/>
        <v>229</v>
      </c>
      <c r="B230" s="77">
        <v>2539184.3563646176</v>
      </c>
      <c r="C230" s="77">
        <v>361522.7276235852</v>
      </c>
    </row>
    <row r="231" spans="1:3" x14ac:dyDescent="0.3">
      <c r="A231">
        <f t="shared" si="3"/>
        <v>230</v>
      </c>
      <c r="B231" s="77">
        <v>2448439.2775859819</v>
      </c>
      <c r="C231" s="77">
        <v>348602.66992228507</v>
      </c>
    </row>
    <row r="232" spans="1:3" x14ac:dyDescent="0.3">
      <c r="A232">
        <f t="shared" si="3"/>
        <v>231</v>
      </c>
      <c r="B232" s="77">
        <v>2296296.5825897576</v>
      </c>
      <c r="C232" s="77">
        <v>326940.9729505115</v>
      </c>
    </row>
    <row r="233" spans="1:3" x14ac:dyDescent="0.3">
      <c r="A233">
        <f t="shared" si="3"/>
        <v>232</v>
      </c>
      <c r="B233" s="77">
        <v>2131874.8910664301</v>
      </c>
      <c r="C233" s="77">
        <v>303531.02311721107</v>
      </c>
    </row>
    <row r="234" spans="1:3" x14ac:dyDescent="0.3">
      <c r="A234">
        <f t="shared" si="3"/>
        <v>233</v>
      </c>
      <c r="B234" s="77">
        <v>2265359.5486713373</v>
      </c>
      <c r="C234" s="77">
        <v>322536.23531941505</v>
      </c>
    </row>
    <row r="235" spans="1:3" x14ac:dyDescent="0.3">
      <c r="A235">
        <f t="shared" si="3"/>
        <v>234</v>
      </c>
      <c r="B235" s="77">
        <v>2559575.1559938779</v>
      </c>
      <c r="C235" s="77">
        <v>364425.91875341337</v>
      </c>
    </row>
    <row r="236" spans="1:3" x14ac:dyDescent="0.3">
      <c r="A236">
        <f t="shared" si="3"/>
        <v>235</v>
      </c>
      <c r="B236" s="77">
        <v>2544748.1412056684</v>
      </c>
      <c r="C236" s="77">
        <v>362314.88541496638</v>
      </c>
    </row>
    <row r="237" spans="1:3" x14ac:dyDescent="0.3">
      <c r="A237">
        <f t="shared" si="3"/>
        <v>236</v>
      </c>
      <c r="B237" s="77">
        <v>2444152.3325249753</v>
      </c>
      <c r="C237" s="77">
        <v>347992.30539016955</v>
      </c>
    </row>
    <row r="238" spans="1:3" x14ac:dyDescent="0.3">
      <c r="A238">
        <f t="shared" si="3"/>
        <v>237</v>
      </c>
      <c r="B238" s="77">
        <v>2299319.5539784222</v>
      </c>
      <c r="C238" s="77">
        <v>327371.37606764585</v>
      </c>
    </row>
    <row r="239" spans="1:3" x14ac:dyDescent="0.3">
      <c r="A239">
        <f t="shared" si="3"/>
        <v>238</v>
      </c>
      <c r="B239" s="77">
        <v>2896435.6116070803</v>
      </c>
      <c r="C239" s="77">
        <v>412387.26919122337</v>
      </c>
    </row>
    <row r="240" spans="1:3" x14ac:dyDescent="0.3">
      <c r="A240">
        <f t="shared" si="3"/>
        <v>239</v>
      </c>
      <c r="B240" s="77">
        <v>2692387.2750854567</v>
      </c>
      <c r="C240" s="77">
        <v>383335.37660160166</v>
      </c>
    </row>
    <row r="241" spans="1:3" x14ac:dyDescent="0.3">
      <c r="A241">
        <f t="shared" si="3"/>
        <v>240</v>
      </c>
      <c r="B241" s="77">
        <v>2163609.753455264</v>
      </c>
      <c r="C241" s="77">
        <v>308049.35357352975</v>
      </c>
    </row>
    <row r="242" spans="1:3" x14ac:dyDescent="0.3">
      <c r="A242">
        <f t="shared" si="3"/>
        <v>241</v>
      </c>
      <c r="B242" s="77">
        <v>2030240.7907895178</v>
      </c>
      <c r="C242" s="77">
        <v>289060.6137278417</v>
      </c>
    </row>
    <row r="243" spans="1:3" x14ac:dyDescent="0.3">
      <c r="A243">
        <f t="shared" si="3"/>
        <v>242</v>
      </c>
      <c r="B243" s="77">
        <v>2729527.6314387233</v>
      </c>
      <c r="C243" s="77">
        <v>388623.32778958417</v>
      </c>
    </row>
    <row r="244" spans="1:3" x14ac:dyDescent="0.3">
      <c r="A244">
        <f t="shared" si="3"/>
        <v>243</v>
      </c>
      <c r="B244" s="77">
        <v>2611849.2069768836</v>
      </c>
      <c r="C244" s="77">
        <v>371868.56758981664</v>
      </c>
    </row>
    <row r="245" spans="1:3" x14ac:dyDescent="0.3">
      <c r="A245">
        <f t="shared" si="3"/>
        <v>244</v>
      </c>
      <c r="B245" s="77">
        <v>2693966.4812003737</v>
      </c>
      <c r="C245" s="77">
        <v>383560.22002453537</v>
      </c>
    </row>
    <row r="246" spans="1:3" x14ac:dyDescent="0.3">
      <c r="A246">
        <f t="shared" si="3"/>
        <v>245</v>
      </c>
      <c r="B246" s="77">
        <v>2229509.4519515457</v>
      </c>
      <c r="C246" s="77">
        <v>317431.9880759166</v>
      </c>
    </row>
    <row r="247" spans="1:3" x14ac:dyDescent="0.3">
      <c r="A247">
        <f t="shared" si="3"/>
        <v>246</v>
      </c>
      <c r="B247" s="77">
        <v>2347835.1720145759</v>
      </c>
      <c r="C247" s="77">
        <v>334278.90860690811</v>
      </c>
    </row>
    <row r="248" spans="1:3" x14ac:dyDescent="0.3">
      <c r="A248">
        <f t="shared" si="3"/>
        <v>247</v>
      </c>
      <c r="B248" s="77">
        <v>2219436.490052239</v>
      </c>
      <c r="C248" s="77">
        <v>315997.82491562545</v>
      </c>
    </row>
    <row r="249" spans="1:3" x14ac:dyDescent="0.3">
      <c r="A249">
        <f t="shared" si="3"/>
        <v>248</v>
      </c>
      <c r="B249" s="77">
        <v>1765748.8323388102</v>
      </c>
      <c r="C249" s="77">
        <v>251402.90919216003</v>
      </c>
    </row>
    <row r="250" spans="1:3" x14ac:dyDescent="0.3">
      <c r="A250">
        <f t="shared" si="3"/>
        <v>249</v>
      </c>
      <c r="B250" s="77">
        <v>2881922.0026880591</v>
      </c>
      <c r="C250" s="77">
        <v>410320.85779777158</v>
      </c>
    </row>
    <row r="251" spans="1:3" x14ac:dyDescent="0.3">
      <c r="A251">
        <f t="shared" si="3"/>
        <v>250</v>
      </c>
      <c r="B251" s="77">
        <v>2621971.6795865064</v>
      </c>
      <c r="C251" s="77">
        <v>373309.7799614009</v>
      </c>
    </row>
    <row r="252" spans="1:3" x14ac:dyDescent="0.3">
      <c r="A252">
        <f t="shared" si="3"/>
        <v>251</v>
      </c>
      <c r="B252" s="77">
        <v>2048364.7214031373</v>
      </c>
      <c r="C252" s="77">
        <v>291641.05370821286</v>
      </c>
    </row>
    <row r="253" spans="1:3" x14ac:dyDescent="0.3">
      <c r="A253">
        <f t="shared" si="3"/>
        <v>252</v>
      </c>
      <c r="B253" s="77">
        <v>2671740.6031706161</v>
      </c>
      <c r="C253" s="77">
        <v>380395.75501473551</v>
      </c>
    </row>
    <row r="254" spans="1:3" x14ac:dyDescent="0.3">
      <c r="A254">
        <f t="shared" si="3"/>
        <v>253</v>
      </c>
      <c r="B254" s="77">
        <v>2796045.4626556761</v>
      </c>
      <c r="C254" s="77">
        <v>398093.97048509424</v>
      </c>
    </row>
    <row r="255" spans="1:3" x14ac:dyDescent="0.3">
      <c r="A255">
        <f t="shared" si="3"/>
        <v>254</v>
      </c>
      <c r="B255" s="77">
        <v>2481423.7255065697</v>
      </c>
      <c r="C255" s="77">
        <v>353298.91324605921</v>
      </c>
    </row>
    <row r="256" spans="1:3" x14ac:dyDescent="0.3">
      <c r="A256">
        <f t="shared" si="3"/>
        <v>255</v>
      </c>
      <c r="B256" s="77">
        <v>2650809.3607390206</v>
      </c>
      <c r="C256" s="77">
        <v>377415.61698834389</v>
      </c>
    </row>
    <row r="257" spans="1:3" x14ac:dyDescent="0.3">
      <c r="A257">
        <f t="shared" si="3"/>
        <v>256</v>
      </c>
      <c r="B257" s="77">
        <v>2276514.473608966</v>
      </c>
      <c r="C257" s="77">
        <v>324124.44567514583</v>
      </c>
    </row>
    <row r="258" spans="1:3" x14ac:dyDescent="0.3">
      <c r="A258">
        <f t="shared" si="3"/>
        <v>257</v>
      </c>
      <c r="B258" s="77">
        <v>2319561.6769349747</v>
      </c>
      <c r="C258" s="77">
        <v>330253.39898410003</v>
      </c>
    </row>
    <row r="259" spans="1:3" x14ac:dyDescent="0.3">
      <c r="A259">
        <f t="shared" si="3"/>
        <v>258</v>
      </c>
      <c r="B259" s="77">
        <v>2258400.3814052357</v>
      </c>
      <c r="C259" s="77">
        <v>321545.40646300546</v>
      </c>
    </row>
    <row r="260" spans="1:3" x14ac:dyDescent="0.3">
      <c r="A260">
        <f t="shared" si="3"/>
        <v>259</v>
      </c>
      <c r="B260" s="77">
        <v>1989366.685791932</v>
      </c>
      <c r="C260" s="77">
        <v>283241.06073206931</v>
      </c>
    </row>
    <row r="261" spans="1:3" x14ac:dyDescent="0.3">
      <c r="A261">
        <f t="shared" ref="A261:A324" si="4">A260+1</f>
        <v>260</v>
      </c>
      <c r="B261" s="77">
        <v>2389978.4894875814</v>
      </c>
      <c r="C261" s="77">
        <v>340279.16890536115</v>
      </c>
    </row>
    <row r="262" spans="1:3" x14ac:dyDescent="0.3">
      <c r="A262">
        <f t="shared" si="4"/>
        <v>261</v>
      </c>
      <c r="B262" s="77">
        <v>2514387.0455530034</v>
      </c>
      <c r="C262" s="77">
        <v>357992.14843587327</v>
      </c>
    </row>
    <row r="263" spans="1:3" x14ac:dyDescent="0.3">
      <c r="A263">
        <f t="shared" si="4"/>
        <v>262</v>
      </c>
      <c r="B263" s="77">
        <v>2688557.4683117326</v>
      </c>
      <c r="C263" s="77">
        <v>382790.09827723051</v>
      </c>
    </row>
    <row r="264" spans="1:3" x14ac:dyDescent="0.3">
      <c r="A264">
        <f t="shared" si="4"/>
        <v>263</v>
      </c>
      <c r="B264" s="77">
        <v>2622228.4561876282</v>
      </c>
      <c r="C264" s="77">
        <v>373346.33917262743</v>
      </c>
    </row>
    <row r="265" spans="1:3" x14ac:dyDescent="0.3">
      <c r="A265">
        <f t="shared" si="4"/>
        <v>264</v>
      </c>
      <c r="B265" s="77">
        <v>2719708.1452731816</v>
      </c>
      <c r="C265" s="77">
        <v>387225.25387126848</v>
      </c>
    </row>
    <row r="266" spans="1:3" x14ac:dyDescent="0.3">
      <c r="A266">
        <f t="shared" si="4"/>
        <v>265</v>
      </c>
      <c r="B266" s="77">
        <v>1490354.2618088739</v>
      </c>
      <c r="C266" s="77">
        <v>212192.91797543259</v>
      </c>
    </row>
    <row r="267" spans="1:3" x14ac:dyDescent="0.3">
      <c r="A267">
        <f t="shared" si="4"/>
        <v>266</v>
      </c>
      <c r="B267" s="77">
        <v>2636885.7405147911</v>
      </c>
      <c r="C267" s="77">
        <v>375433.20671189384</v>
      </c>
    </row>
    <row r="268" spans="1:3" x14ac:dyDescent="0.3">
      <c r="A268">
        <f t="shared" si="4"/>
        <v>267</v>
      </c>
      <c r="B268" s="77">
        <v>2530602.1843811241</v>
      </c>
      <c r="C268" s="77">
        <v>360300.81940859865</v>
      </c>
    </row>
    <row r="269" spans="1:3" x14ac:dyDescent="0.3">
      <c r="A269">
        <f t="shared" si="4"/>
        <v>268</v>
      </c>
      <c r="B269" s="77">
        <v>2010256.5513697134</v>
      </c>
      <c r="C269" s="77">
        <v>286215.3076253442</v>
      </c>
    </row>
    <row r="270" spans="1:3" x14ac:dyDescent="0.3">
      <c r="A270">
        <f t="shared" si="4"/>
        <v>269</v>
      </c>
      <c r="B270" s="77">
        <v>2235425.1798379114</v>
      </c>
      <c r="C270" s="77">
        <v>318274.25463919196</v>
      </c>
    </row>
    <row r="271" spans="1:3" x14ac:dyDescent="0.3">
      <c r="A271">
        <f t="shared" si="4"/>
        <v>270</v>
      </c>
      <c r="B271" s="77">
        <v>3021224.7919045691</v>
      </c>
      <c r="C271" s="77">
        <v>430154.44104937476</v>
      </c>
    </row>
    <row r="272" spans="1:3" x14ac:dyDescent="0.3">
      <c r="A272">
        <f t="shared" si="4"/>
        <v>271</v>
      </c>
      <c r="B272" s="77">
        <v>2432380.1607398144</v>
      </c>
      <c r="C272" s="77">
        <v>346316.21296972083</v>
      </c>
    </row>
    <row r="273" spans="1:3" x14ac:dyDescent="0.3">
      <c r="A273">
        <f t="shared" si="4"/>
        <v>272</v>
      </c>
      <c r="B273" s="77">
        <v>2025854.9548464464</v>
      </c>
      <c r="C273" s="77">
        <v>288436.16935889528</v>
      </c>
    </row>
    <row r="274" spans="1:3" x14ac:dyDescent="0.3">
      <c r="A274">
        <f t="shared" si="4"/>
        <v>273</v>
      </c>
      <c r="B274" s="77">
        <v>2649297.0216357401</v>
      </c>
      <c r="C274" s="77">
        <v>377200.29392354185</v>
      </c>
    </row>
    <row r="275" spans="1:3" x14ac:dyDescent="0.3">
      <c r="A275">
        <f t="shared" si="4"/>
        <v>274</v>
      </c>
      <c r="B275" s="77">
        <v>1959262.6624861034</v>
      </c>
      <c r="C275" s="77">
        <v>278954.92507173907</v>
      </c>
    </row>
    <row r="276" spans="1:3" x14ac:dyDescent="0.3">
      <c r="A276">
        <f t="shared" si="4"/>
        <v>275</v>
      </c>
      <c r="B276" s="77">
        <v>2529726.4981234558</v>
      </c>
      <c r="C276" s="77">
        <v>360176.14138605911</v>
      </c>
    </row>
    <row r="277" spans="1:3" x14ac:dyDescent="0.3">
      <c r="A277">
        <f t="shared" si="4"/>
        <v>276</v>
      </c>
      <c r="B277" s="77">
        <v>2776027.1351023256</v>
      </c>
      <c r="C277" s="77">
        <v>395243.81099926989</v>
      </c>
    </row>
    <row r="278" spans="1:3" x14ac:dyDescent="0.3">
      <c r="A278">
        <f t="shared" si="4"/>
        <v>277</v>
      </c>
      <c r="B278" s="77">
        <v>2291559.4101600423</v>
      </c>
      <c r="C278" s="77">
        <v>326266.50616997975</v>
      </c>
    </row>
    <row r="279" spans="1:3" x14ac:dyDescent="0.3">
      <c r="A279">
        <f t="shared" si="4"/>
        <v>278</v>
      </c>
      <c r="B279" s="77">
        <v>2594640.2554286504</v>
      </c>
      <c r="C279" s="77">
        <v>369418.40004382294</v>
      </c>
    </row>
    <row r="280" spans="1:3" x14ac:dyDescent="0.3">
      <c r="A280">
        <f t="shared" si="4"/>
        <v>279</v>
      </c>
      <c r="B280" s="77">
        <v>2065954.3721308447</v>
      </c>
      <c r="C280" s="77">
        <v>294145.42425267043</v>
      </c>
    </row>
    <row r="281" spans="1:3" x14ac:dyDescent="0.3">
      <c r="A281">
        <f t="shared" si="4"/>
        <v>280</v>
      </c>
      <c r="B281" s="77">
        <v>2207334.2684613857</v>
      </c>
      <c r="C281" s="77">
        <v>314274.7408280666</v>
      </c>
    </row>
    <row r="282" spans="1:3" x14ac:dyDescent="0.3">
      <c r="A282">
        <f t="shared" si="4"/>
        <v>281</v>
      </c>
      <c r="B282" s="77">
        <v>2397906.1166673894</v>
      </c>
      <c r="C282" s="77">
        <v>341407.88466577581</v>
      </c>
    </row>
    <row r="283" spans="1:3" x14ac:dyDescent="0.3">
      <c r="A283">
        <f t="shared" si="4"/>
        <v>282</v>
      </c>
      <c r="B283" s="77">
        <v>2356778.0004418544</v>
      </c>
      <c r="C283" s="77">
        <v>335552.1661857033</v>
      </c>
    </row>
    <row r="284" spans="1:3" x14ac:dyDescent="0.3">
      <c r="A284">
        <f t="shared" si="4"/>
        <v>283</v>
      </c>
      <c r="B284" s="77">
        <v>1981113.3286918816</v>
      </c>
      <c r="C284" s="77">
        <v>282065.96835904696</v>
      </c>
    </row>
    <row r="285" spans="1:3" x14ac:dyDescent="0.3">
      <c r="A285">
        <f t="shared" si="4"/>
        <v>284</v>
      </c>
      <c r="B285" s="77">
        <v>2465388.0369805559</v>
      </c>
      <c r="C285" s="77">
        <v>351015.79195921146</v>
      </c>
    </row>
    <row r="286" spans="1:3" x14ac:dyDescent="0.3">
      <c r="A286">
        <f t="shared" si="4"/>
        <v>285</v>
      </c>
      <c r="B286" s="77">
        <v>2112184.179322782</v>
      </c>
      <c r="C286" s="77">
        <v>300727.50875222601</v>
      </c>
    </row>
    <row r="287" spans="1:3" x14ac:dyDescent="0.3">
      <c r="A287">
        <f t="shared" si="4"/>
        <v>286</v>
      </c>
      <c r="B287" s="77">
        <v>2372452.2822129484</v>
      </c>
      <c r="C287" s="77">
        <v>337783.83128131676</v>
      </c>
    </row>
    <row r="288" spans="1:3" x14ac:dyDescent="0.3">
      <c r="A288">
        <f t="shared" si="4"/>
        <v>287</v>
      </c>
      <c r="B288" s="77">
        <v>2630344.6296977974</v>
      </c>
      <c r="C288" s="77">
        <v>374501.89968870726</v>
      </c>
    </row>
    <row r="289" spans="1:3" x14ac:dyDescent="0.3">
      <c r="A289">
        <f t="shared" si="4"/>
        <v>288</v>
      </c>
      <c r="B289" s="77">
        <v>2531659.9812570061</v>
      </c>
      <c r="C289" s="77">
        <v>360451.4258861795</v>
      </c>
    </row>
    <row r="290" spans="1:3" x14ac:dyDescent="0.3">
      <c r="A290">
        <f t="shared" si="4"/>
        <v>289</v>
      </c>
      <c r="B290" s="77">
        <v>2519137.1081068334</v>
      </c>
      <c r="C290" s="77">
        <v>358668.45048008632</v>
      </c>
    </row>
    <row r="291" spans="1:3" x14ac:dyDescent="0.3">
      <c r="A291">
        <f t="shared" si="4"/>
        <v>290</v>
      </c>
      <c r="B291" s="77">
        <v>2801374.7245853543</v>
      </c>
      <c r="C291" s="77">
        <v>398852.73749002191</v>
      </c>
    </row>
    <row r="292" spans="1:3" x14ac:dyDescent="0.3">
      <c r="A292">
        <f t="shared" si="4"/>
        <v>291</v>
      </c>
      <c r="B292" s="77">
        <v>1909124.8793053273</v>
      </c>
      <c r="C292" s="77">
        <v>271816.43271017406</v>
      </c>
    </row>
    <row r="293" spans="1:3" x14ac:dyDescent="0.3">
      <c r="A293">
        <f t="shared" si="4"/>
        <v>292</v>
      </c>
      <c r="B293" s="77">
        <v>2496185.3946726932</v>
      </c>
      <c r="C293" s="77">
        <v>355400.64283801935</v>
      </c>
    </row>
    <row r="294" spans="1:3" x14ac:dyDescent="0.3">
      <c r="A294">
        <f t="shared" si="4"/>
        <v>293</v>
      </c>
      <c r="B294" s="77">
        <v>2324683.5023760521</v>
      </c>
      <c r="C294" s="77">
        <v>330982.63169980614</v>
      </c>
    </row>
    <row r="295" spans="1:3" x14ac:dyDescent="0.3">
      <c r="A295">
        <f t="shared" si="4"/>
        <v>294</v>
      </c>
      <c r="B295" s="77">
        <v>2309238.4823786039</v>
      </c>
      <c r="C295" s="77">
        <v>328783.60832299525</v>
      </c>
    </row>
    <row r="296" spans="1:3" x14ac:dyDescent="0.3">
      <c r="A296">
        <f t="shared" si="4"/>
        <v>295</v>
      </c>
      <c r="B296" s="77">
        <v>2929995.3523476128</v>
      </c>
      <c r="C296" s="77">
        <v>417165.42127003823</v>
      </c>
    </row>
    <row r="297" spans="1:3" x14ac:dyDescent="0.3">
      <c r="A297">
        <f t="shared" si="4"/>
        <v>296</v>
      </c>
      <c r="B297" s="77">
        <v>2534053.9375960934</v>
      </c>
      <c r="C297" s="77">
        <v>360792.27141137712</v>
      </c>
    </row>
    <row r="298" spans="1:3" x14ac:dyDescent="0.3">
      <c r="A298">
        <f t="shared" si="4"/>
        <v>297</v>
      </c>
      <c r="B298" s="77">
        <v>2247723.9160158345</v>
      </c>
      <c r="C298" s="77">
        <v>320025.31798290741</v>
      </c>
    </row>
    <row r="299" spans="1:3" x14ac:dyDescent="0.3">
      <c r="A299">
        <f t="shared" si="4"/>
        <v>298</v>
      </c>
      <c r="B299" s="77">
        <v>1943640.0260698029</v>
      </c>
      <c r="C299" s="77">
        <v>276730.61311276862</v>
      </c>
    </row>
    <row r="300" spans="1:3" x14ac:dyDescent="0.3">
      <c r="A300">
        <f t="shared" si="4"/>
        <v>299</v>
      </c>
      <c r="B300" s="77">
        <v>2783040.1633065171</v>
      </c>
      <c r="C300" s="77">
        <v>396242.30844153918</v>
      </c>
    </row>
    <row r="301" spans="1:3" x14ac:dyDescent="0.3">
      <c r="A301">
        <f t="shared" si="4"/>
        <v>300</v>
      </c>
      <c r="B301" s="77">
        <v>2745366.0031665657</v>
      </c>
      <c r="C301" s="77">
        <v>390878.35560346214</v>
      </c>
    </row>
    <row r="302" spans="1:3" x14ac:dyDescent="0.3">
      <c r="A302">
        <f t="shared" si="4"/>
        <v>301</v>
      </c>
      <c r="B302" s="77">
        <v>2465802.5579824736</v>
      </c>
      <c r="C302" s="77">
        <v>351074.81042429258</v>
      </c>
    </row>
    <row r="303" spans="1:3" x14ac:dyDescent="0.3">
      <c r="A303">
        <f t="shared" si="4"/>
        <v>302</v>
      </c>
      <c r="B303" s="77">
        <v>2289718.1812052806</v>
      </c>
      <c r="C303" s="77">
        <v>326004.35658945143</v>
      </c>
    </row>
    <row r="304" spans="1:3" x14ac:dyDescent="0.3">
      <c r="A304">
        <f t="shared" si="4"/>
        <v>303</v>
      </c>
      <c r="B304" s="77">
        <v>2066857.9488694533</v>
      </c>
      <c r="C304" s="77">
        <v>294274.07325223606</v>
      </c>
    </row>
    <row r="305" spans="1:3" x14ac:dyDescent="0.3">
      <c r="A305">
        <f t="shared" si="4"/>
        <v>304</v>
      </c>
      <c r="B305" s="77">
        <v>2719185.3861180935</v>
      </c>
      <c r="C305" s="77">
        <v>387150.82472823921</v>
      </c>
    </row>
    <row r="306" spans="1:3" x14ac:dyDescent="0.3">
      <c r="A306">
        <f t="shared" si="4"/>
        <v>305</v>
      </c>
      <c r="B306" s="77">
        <v>2323485.4809212247</v>
      </c>
      <c r="C306" s="77">
        <v>330812.06039685401</v>
      </c>
    </row>
    <row r="307" spans="1:3" x14ac:dyDescent="0.3">
      <c r="A307">
        <f t="shared" si="4"/>
        <v>306</v>
      </c>
      <c r="B307" s="77">
        <v>2307536.0769893127</v>
      </c>
      <c r="C307" s="77">
        <v>328541.22409503837</v>
      </c>
    </row>
    <row r="308" spans="1:3" x14ac:dyDescent="0.3">
      <c r="A308">
        <f t="shared" si="4"/>
        <v>307</v>
      </c>
      <c r="B308" s="77">
        <v>2347631.0190965957</v>
      </c>
      <c r="C308" s="77">
        <v>334249.8418242716</v>
      </c>
    </row>
    <row r="309" spans="1:3" x14ac:dyDescent="0.3">
      <c r="A309">
        <f t="shared" si="4"/>
        <v>308</v>
      </c>
      <c r="B309" s="77">
        <v>2710721.4874001457</v>
      </c>
      <c r="C309" s="77">
        <v>385945.75596544042</v>
      </c>
    </row>
    <row r="310" spans="1:3" x14ac:dyDescent="0.3">
      <c r="A310">
        <f t="shared" si="4"/>
        <v>309</v>
      </c>
      <c r="B310" s="77">
        <v>2429936.0719350954</v>
      </c>
      <c r="C310" s="77">
        <v>345968.22970926098</v>
      </c>
    </row>
    <row r="311" spans="1:3" x14ac:dyDescent="0.3">
      <c r="A311">
        <f t="shared" si="4"/>
        <v>310</v>
      </c>
      <c r="B311" s="77">
        <v>2769353.7825013967</v>
      </c>
      <c r="C311" s="77">
        <v>394293.67572113039</v>
      </c>
    </row>
    <row r="312" spans="1:3" x14ac:dyDescent="0.3">
      <c r="A312">
        <f t="shared" si="4"/>
        <v>311</v>
      </c>
      <c r="B312" s="77">
        <v>2159046.5356837921</v>
      </c>
      <c r="C312" s="77">
        <v>307399.65402282646</v>
      </c>
    </row>
    <row r="313" spans="1:3" x14ac:dyDescent="0.3">
      <c r="A313">
        <f t="shared" si="4"/>
        <v>312</v>
      </c>
      <c r="B313" s="77">
        <v>2533155.2330259723</v>
      </c>
      <c r="C313" s="77">
        <v>360664.31609899359</v>
      </c>
    </row>
    <row r="314" spans="1:3" x14ac:dyDescent="0.3">
      <c r="A314">
        <f t="shared" si="4"/>
        <v>313</v>
      </c>
      <c r="B314" s="77">
        <v>2294823.4116181224</v>
      </c>
      <c r="C314" s="77">
        <v>326731.22654647962</v>
      </c>
    </row>
    <row r="315" spans="1:3" x14ac:dyDescent="0.3">
      <c r="A315">
        <f t="shared" si="4"/>
        <v>314</v>
      </c>
      <c r="B315" s="77">
        <v>2396995.6637552045</v>
      </c>
      <c r="C315" s="77">
        <v>341278.25665378803</v>
      </c>
    </row>
    <row r="316" spans="1:3" x14ac:dyDescent="0.3">
      <c r="A316">
        <f t="shared" si="4"/>
        <v>315</v>
      </c>
      <c r="B316" s="77">
        <v>2102151.8877575286</v>
      </c>
      <c r="C316" s="77">
        <v>299299.13613253244</v>
      </c>
    </row>
    <row r="317" spans="1:3" x14ac:dyDescent="0.3">
      <c r="A317">
        <f t="shared" si="4"/>
        <v>316</v>
      </c>
      <c r="B317" s="77">
        <v>2623619.104177691</v>
      </c>
      <c r="C317" s="77">
        <v>373544.33616062545</v>
      </c>
    </row>
    <row r="318" spans="1:3" x14ac:dyDescent="0.3">
      <c r="A318">
        <f t="shared" si="4"/>
        <v>317</v>
      </c>
      <c r="B318" s="77">
        <v>2176998.9333713688</v>
      </c>
      <c r="C318" s="77">
        <v>309955.67157355213</v>
      </c>
    </row>
    <row r="319" spans="1:3" x14ac:dyDescent="0.3">
      <c r="A319">
        <f t="shared" si="4"/>
        <v>318</v>
      </c>
      <c r="B319" s="77">
        <v>2498302.9970152993</v>
      </c>
      <c r="C319" s="77">
        <v>355702.14177132922</v>
      </c>
    </row>
    <row r="320" spans="1:3" x14ac:dyDescent="0.3">
      <c r="A320">
        <f t="shared" si="4"/>
        <v>319</v>
      </c>
      <c r="B320" s="77">
        <v>2007624.3842760657</v>
      </c>
      <c r="C320" s="77">
        <v>285840.54624778946</v>
      </c>
    </row>
    <row r="321" spans="1:3" x14ac:dyDescent="0.3">
      <c r="A321">
        <f t="shared" si="4"/>
        <v>320</v>
      </c>
      <c r="B321" s="77">
        <v>1971183.866965059</v>
      </c>
      <c r="C321" s="77">
        <v>280652.23639495502</v>
      </c>
    </row>
    <row r="322" spans="1:3" x14ac:dyDescent="0.3">
      <c r="A322">
        <f t="shared" si="4"/>
        <v>321</v>
      </c>
      <c r="B322" s="77">
        <v>2185525.6992717343</v>
      </c>
      <c r="C322" s="77">
        <v>311169.69120878709</v>
      </c>
    </row>
    <row r="323" spans="1:3" x14ac:dyDescent="0.3">
      <c r="A323">
        <f t="shared" si="4"/>
        <v>322</v>
      </c>
      <c r="B323" s="77">
        <v>2453300.8584870622</v>
      </c>
      <c r="C323" s="77">
        <v>349294.84967028792</v>
      </c>
    </row>
    <row r="324" spans="1:3" x14ac:dyDescent="0.3">
      <c r="A324">
        <f t="shared" si="4"/>
        <v>323</v>
      </c>
      <c r="B324" s="77">
        <v>2269713.9389978247</v>
      </c>
      <c r="C324" s="77">
        <v>323156.20254000055</v>
      </c>
    </row>
    <row r="325" spans="1:3" x14ac:dyDescent="0.3">
      <c r="A325">
        <f t="shared" ref="A325:A388" si="5">A324+1</f>
        <v>324</v>
      </c>
      <c r="B325" s="77">
        <v>2119402.5596577572</v>
      </c>
      <c r="C325" s="77">
        <v>301755.24371805607</v>
      </c>
    </row>
    <row r="326" spans="1:3" x14ac:dyDescent="0.3">
      <c r="A326">
        <f t="shared" si="5"/>
        <v>325</v>
      </c>
      <c r="B326" s="77">
        <v>2441053.8834710889</v>
      </c>
      <c r="C326" s="77">
        <v>347551.15595154924</v>
      </c>
    </row>
    <row r="327" spans="1:3" x14ac:dyDescent="0.3">
      <c r="A327">
        <f t="shared" si="5"/>
        <v>326</v>
      </c>
      <c r="B327" s="77">
        <v>2573195.109759985</v>
      </c>
      <c r="C327" s="77">
        <v>366365.09375789383</v>
      </c>
    </row>
    <row r="328" spans="1:3" x14ac:dyDescent="0.3">
      <c r="A328">
        <f t="shared" si="5"/>
        <v>327</v>
      </c>
      <c r="B328" s="77">
        <v>2370477.0131950574</v>
      </c>
      <c r="C328" s="77">
        <v>337502.59741133469</v>
      </c>
    </row>
    <row r="329" spans="1:3" x14ac:dyDescent="0.3">
      <c r="A329">
        <f t="shared" si="5"/>
        <v>328</v>
      </c>
      <c r="B329" s="77">
        <v>2393378.5486249481</v>
      </c>
      <c r="C329" s="77">
        <v>340763.26083446475</v>
      </c>
    </row>
    <row r="330" spans="1:3" x14ac:dyDescent="0.3">
      <c r="A330">
        <f t="shared" si="5"/>
        <v>329</v>
      </c>
      <c r="B330" s="77">
        <v>2251656.7762807244</v>
      </c>
      <c r="C330" s="77">
        <v>320585.26880599809</v>
      </c>
    </row>
    <row r="331" spans="1:3" x14ac:dyDescent="0.3">
      <c r="A331">
        <f t="shared" si="5"/>
        <v>330</v>
      </c>
      <c r="B331" s="77">
        <v>2495123.0470010424</v>
      </c>
      <c r="C331" s="77">
        <v>355249.3884295015</v>
      </c>
    </row>
    <row r="332" spans="1:3" x14ac:dyDescent="0.3">
      <c r="A332">
        <f t="shared" si="5"/>
        <v>331</v>
      </c>
      <c r="B332" s="77">
        <v>2627186.2539988235</v>
      </c>
      <c r="C332" s="77">
        <v>374052.21804401261</v>
      </c>
    </row>
    <row r="333" spans="1:3" x14ac:dyDescent="0.3">
      <c r="A333">
        <f t="shared" si="5"/>
        <v>332</v>
      </c>
      <c r="B333" s="77">
        <v>1784616.8120002982</v>
      </c>
      <c r="C333" s="77">
        <v>254089.28501787339</v>
      </c>
    </row>
    <row r="334" spans="1:3" x14ac:dyDescent="0.3">
      <c r="A334">
        <f t="shared" si="5"/>
        <v>333</v>
      </c>
      <c r="B334" s="77">
        <v>2718798.6829928462</v>
      </c>
      <c r="C334" s="77">
        <v>387095.76690296957</v>
      </c>
    </row>
    <row r="335" spans="1:3" x14ac:dyDescent="0.3">
      <c r="A335">
        <f t="shared" si="5"/>
        <v>334</v>
      </c>
      <c r="B335" s="77">
        <v>1987864.7813613103</v>
      </c>
      <c r="C335" s="77">
        <v>283027.22332990222</v>
      </c>
    </row>
    <row r="336" spans="1:3" x14ac:dyDescent="0.3">
      <c r="A336">
        <f t="shared" si="5"/>
        <v>335</v>
      </c>
      <c r="B336" s="77">
        <v>2790046.6323115411</v>
      </c>
      <c r="C336" s="77">
        <v>397239.87200141116</v>
      </c>
    </row>
    <row r="337" spans="1:3" x14ac:dyDescent="0.3">
      <c r="A337">
        <f t="shared" si="5"/>
        <v>336</v>
      </c>
      <c r="B337" s="77">
        <v>2557318.2219128623</v>
      </c>
      <c r="C337" s="77">
        <v>364104.58211513801</v>
      </c>
    </row>
    <row r="338" spans="1:3" x14ac:dyDescent="0.3">
      <c r="A338">
        <f t="shared" si="5"/>
        <v>337</v>
      </c>
      <c r="B338" s="77">
        <v>2239325.9430670929</v>
      </c>
      <c r="C338" s="77">
        <v>318829.63556649361</v>
      </c>
    </row>
    <row r="339" spans="1:3" x14ac:dyDescent="0.3">
      <c r="A339">
        <f t="shared" si="5"/>
        <v>338</v>
      </c>
      <c r="B339" s="77">
        <v>2413064.6096578264</v>
      </c>
      <c r="C339" s="77">
        <v>343566.11304286448</v>
      </c>
    </row>
    <row r="340" spans="1:3" x14ac:dyDescent="0.3">
      <c r="A340">
        <f t="shared" si="5"/>
        <v>339</v>
      </c>
      <c r="B340" s="77">
        <v>2824299.8004454542</v>
      </c>
      <c r="C340" s="77">
        <v>402116.75254081836</v>
      </c>
    </row>
    <row r="341" spans="1:3" x14ac:dyDescent="0.3">
      <c r="A341">
        <f t="shared" si="5"/>
        <v>340</v>
      </c>
      <c r="B341" s="77">
        <v>2858456.0890366295</v>
      </c>
      <c r="C341" s="77">
        <v>406979.83961286501</v>
      </c>
    </row>
    <row r="342" spans="1:3" x14ac:dyDescent="0.3">
      <c r="A342">
        <f t="shared" si="5"/>
        <v>341</v>
      </c>
      <c r="B342" s="77">
        <v>2663053.4682432571</v>
      </c>
      <c r="C342" s="77">
        <v>379158.90243792243</v>
      </c>
    </row>
    <row r="343" spans="1:3" x14ac:dyDescent="0.3">
      <c r="A343">
        <f t="shared" si="5"/>
        <v>342</v>
      </c>
      <c r="B343" s="77">
        <v>2265600.1479211738</v>
      </c>
      <c r="C343" s="77">
        <v>322570.49123976484</v>
      </c>
    </row>
    <row r="344" spans="1:3" x14ac:dyDescent="0.3">
      <c r="A344">
        <f t="shared" si="5"/>
        <v>343</v>
      </c>
      <c r="B344" s="77">
        <v>2336744.2709389608</v>
      </c>
      <c r="C344" s="77">
        <v>332699.81380876579</v>
      </c>
    </row>
    <row r="345" spans="1:3" x14ac:dyDescent="0.3">
      <c r="A345">
        <f t="shared" si="5"/>
        <v>344</v>
      </c>
      <c r="B345" s="77">
        <v>2604647.9347302108</v>
      </c>
      <c r="C345" s="77">
        <v>370843.2684308755</v>
      </c>
    </row>
    <row r="346" spans="1:3" x14ac:dyDescent="0.3">
      <c r="A346">
        <f t="shared" si="5"/>
        <v>345</v>
      </c>
      <c r="B346" s="77">
        <v>2306159.509157151</v>
      </c>
      <c r="C346" s="77">
        <v>328345.23180476041</v>
      </c>
    </row>
    <row r="347" spans="1:3" x14ac:dyDescent="0.3">
      <c r="A347">
        <f t="shared" si="5"/>
        <v>346</v>
      </c>
      <c r="B347" s="77">
        <v>2413911.2380699576</v>
      </c>
      <c r="C347" s="77">
        <v>343686.65388192172</v>
      </c>
    </row>
    <row r="348" spans="1:3" x14ac:dyDescent="0.3">
      <c r="A348">
        <f t="shared" si="5"/>
        <v>347</v>
      </c>
      <c r="B348" s="77">
        <v>2177205.5744974385</v>
      </c>
      <c r="C348" s="77">
        <v>309985.09262104274</v>
      </c>
    </row>
    <row r="349" spans="1:3" x14ac:dyDescent="0.3">
      <c r="A349">
        <f t="shared" si="5"/>
        <v>348</v>
      </c>
      <c r="B349" s="77">
        <v>2550191.6963824783</v>
      </c>
      <c r="C349" s="77">
        <v>363089.92520699918</v>
      </c>
    </row>
    <row r="350" spans="1:3" x14ac:dyDescent="0.3">
      <c r="A350">
        <f t="shared" si="5"/>
        <v>349</v>
      </c>
      <c r="B350" s="77">
        <v>2421858.5965695009</v>
      </c>
      <c r="C350" s="77">
        <v>344818.17893836577</v>
      </c>
    </row>
    <row r="351" spans="1:3" x14ac:dyDescent="0.3">
      <c r="A351">
        <f t="shared" si="5"/>
        <v>350</v>
      </c>
      <c r="B351" s="77">
        <v>2551455.2555570654</v>
      </c>
      <c r="C351" s="77">
        <v>363269.82760682516</v>
      </c>
    </row>
    <row r="352" spans="1:3" x14ac:dyDescent="0.3">
      <c r="A352">
        <f t="shared" si="5"/>
        <v>351</v>
      </c>
      <c r="B352" s="77">
        <v>2806533.6267253458</v>
      </c>
      <c r="C352" s="77">
        <v>399587.24909352872</v>
      </c>
    </row>
    <row r="353" spans="1:3" x14ac:dyDescent="0.3">
      <c r="A353">
        <f t="shared" si="5"/>
        <v>352</v>
      </c>
      <c r="B353" s="77">
        <v>2915881.6784861963</v>
      </c>
      <c r="C353" s="77">
        <v>415155.95163134125</v>
      </c>
    </row>
    <row r="354" spans="1:3" x14ac:dyDescent="0.3">
      <c r="A354">
        <f t="shared" si="5"/>
        <v>353</v>
      </c>
      <c r="B354" s="77">
        <v>2497906.9035986899</v>
      </c>
      <c r="C354" s="77">
        <v>355645.74697982566</v>
      </c>
    </row>
    <row r="355" spans="1:3" x14ac:dyDescent="0.3">
      <c r="A355">
        <f t="shared" si="5"/>
        <v>354</v>
      </c>
      <c r="B355" s="77">
        <v>3000812.1177275046</v>
      </c>
      <c r="C355" s="77">
        <v>427248.13547605689</v>
      </c>
    </row>
    <row r="356" spans="1:3" x14ac:dyDescent="0.3">
      <c r="A356">
        <f t="shared" si="5"/>
        <v>355</v>
      </c>
      <c r="B356" s="77">
        <v>1970563.2416630541</v>
      </c>
      <c r="C356" s="77">
        <v>280563.87331432616</v>
      </c>
    </row>
    <row r="357" spans="1:3" x14ac:dyDescent="0.3">
      <c r="A357">
        <f t="shared" si="5"/>
        <v>356</v>
      </c>
      <c r="B357" s="77">
        <v>2082799.0625948557</v>
      </c>
      <c r="C357" s="77">
        <v>296543.72921515175</v>
      </c>
    </row>
    <row r="358" spans="1:3" x14ac:dyDescent="0.3">
      <c r="A358">
        <f t="shared" si="5"/>
        <v>357</v>
      </c>
      <c r="B358" s="77">
        <v>2150489.9646524638</v>
      </c>
      <c r="C358" s="77">
        <v>306181.39080747665</v>
      </c>
    </row>
    <row r="359" spans="1:3" x14ac:dyDescent="0.3">
      <c r="A359">
        <f t="shared" si="5"/>
        <v>358</v>
      </c>
      <c r="B359" s="77">
        <v>2643019.9528193832</v>
      </c>
      <c r="C359" s="77">
        <v>376306.58054102113</v>
      </c>
    </row>
    <row r="360" spans="1:3" x14ac:dyDescent="0.3">
      <c r="A360">
        <f t="shared" si="5"/>
        <v>359</v>
      </c>
      <c r="B360" s="77">
        <v>2297809.2033581641</v>
      </c>
      <c r="C360" s="77">
        <v>327156.33611809078</v>
      </c>
    </row>
    <row r="361" spans="1:3" x14ac:dyDescent="0.3">
      <c r="A361">
        <f t="shared" si="5"/>
        <v>360</v>
      </c>
      <c r="B361" s="77">
        <v>2145154.556210015</v>
      </c>
      <c r="C361" s="77">
        <v>305421.74867741024</v>
      </c>
    </row>
    <row r="362" spans="1:3" x14ac:dyDescent="0.3">
      <c r="A362">
        <f t="shared" si="5"/>
        <v>361</v>
      </c>
      <c r="B362" s="77">
        <v>2457883.9539851528</v>
      </c>
      <c r="C362" s="77">
        <v>349947.37936206709</v>
      </c>
    </row>
    <row r="363" spans="1:3" x14ac:dyDescent="0.3">
      <c r="A363">
        <f t="shared" si="5"/>
        <v>362</v>
      </c>
      <c r="B363" s="77">
        <v>2238394.3439129093</v>
      </c>
      <c r="C363" s="77">
        <v>318696.99680537806</v>
      </c>
    </row>
    <row r="364" spans="1:3" x14ac:dyDescent="0.3">
      <c r="A364">
        <f t="shared" si="5"/>
        <v>363</v>
      </c>
      <c r="B364" s="77">
        <v>2699728.4759438275</v>
      </c>
      <c r="C364" s="77">
        <v>384380.59844683652</v>
      </c>
    </row>
    <row r="365" spans="1:3" x14ac:dyDescent="0.3">
      <c r="A365">
        <f t="shared" si="5"/>
        <v>364</v>
      </c>
      <c r="B365" s="77">
        <v>2946571.3196188523</v>
      </c>
      <c r="C365" s="77">
        <v>419525.46609540784</v>
      </c>
    </row>
    <row r="366" spans="1:3" x14ac:dyDescent="0.3">
      <c r="A366">
        <f t="shared" si="5"/>
        <v>365</v>
      </c>
      <c r="B366" s="77">
        <v>2093406.7984562013</v>
      </c>
      <c r="C366" s="77">
        <v>298054.0321566817</v>
      </c>
    </row>
    <row r="367" spans="1:3" x14ac:dyDescent="0.3">
      <c r="A367">
        <f t="shared" si="5"/>
        <v>366</v>
      </c>
      <c r="B367" s="77">
        <v>2427233.5028164228</v>
      </c>
      <c r="C367" s="77">
        <v>345583.44466719631</v>
      </c>
    </row>
    <row r="368" spans="1:3" x14ac:dyDescent="0.3">
      <c r="A368">
        <f t="shared" si="5"/>
        <v>367</v>
      </c>
      <c r="B368" s="77">
        <v>2342555.6313808439</v>
      </c>
      <c r="C368" s="77">
        <v>333527.22079592966</v>
      </c>
    </row>
    <row r="369" spans="1:3" x14ac:dyDescent="0.3">
      <c r="A369">
        <f t="shared" si="5"/>
        <v>368</v>
      </c>
      <c r="B369" s="77">
        <v>2117168.3804145325</v>
      </c>
      <c r="C369" s="77">
        <v>301437.14685676043</v>
      </c>
    </row>
    <row r="370" spans="1:3" x14ac:dyDescent="0.3">
      <c r="A370">
        <f t="shared" si="5"/>
        <v>369</v>
      </c>
      <c r="B370" s="77">
        <v>2696136.6001236746</v>
      </c>
      <c r="C370" s="77">
        <v>383869.1961374564</v>
      </c>
    </row>
    <row r="371" spans="1:3" x14ac:dyDescent="0.3">
      <c r="A371">
        <f t="shared" si="5"/>
        <v>370</v>
      </c>
      <c r="B371" s="77">
        <v>2830692.4671158078</v>
      </c>
      <c r="C371" s="77">
        <v>403026.92445711169</v>
      </c>
    </row>
    <row r="372" spans="1:3" x14ac:dyDescent="0.3">
      <c r="A372">
        <f t="shared" si="5"/>
        <v>371</v>
      </c>
      <c r="B372" s="77">
        <v>2312748.4117962047</v>
      </c>
      <c r="C372" s="77">
        <v>329283.34330822254</v>
      </c>
    </row>
    <row r="373" spans="1:3" x14ac:dyDescent="0.3">
      <c r="A373">
        <f t="shared" si="5"/>
        <v>372</v>
      </c>
      <c r="B373" s="77">
        <v>2102888.1619466296</v>
      </c>
      <c r="C373" s="77">
        <v>299403.96501289925</v>
      </c>
    </row>
    <row r="374" spans="1:3" x14ac:dyDescent="0.3">
      <c r="A374">
        <f t="shared" si="5"/>
        <v>373</v>
      </c>
      <c r="B374" s="77">
        <v>1853163.1034584465</v>
      </c>
      <c r="C374" s="77">
        <v>263848.73481690668</v>
      </c>
    </row>
    <row r="375" spans="1:3" x14ac:dyDescent="0.3">
      <c r="A375">
        <f t="shared" si="5"/>
        <v>374</v>
      </c>
      <c r="B375" s="77">
        <v>2194309.7199608046</v>
      </c>
      <c r="C375" s="77">
        <v>312420.33813840238</v>
      </c>
    </row>
    <row r="376" spans="1:3" x14ac:dyDescent="0.3">
      <c r="A376">
        <f t="shared" si="5"/>
        <v>375</v>
      </c>
      <c r="B376" s="77">
        <v>2481711.9452123572</v>
      </c>
      <c r="C376" s="77">
        <v>353339.94924800599</v>
      </c>
    </row>
    <row r="377" spans="1:3" x14ac:dyDescent="0.3">
      <c r="A377">
        <f t="shared" si="5"/>
        <v>376</v>
      </c>
      <c r="B377" s="77">
        <v>2433783.2700539781</v>
      </c>
      <c r="C377" s="77">
        <v>346515.98416992486</v>
      </c>
    </row>
    <row r="378" spans="1:3" x14ac:dyDescent="0.3">
      <c r="A378">
        <f t="shared" si="5"/>
        <v>377</v>
      </c>
      <c r="B378" s="77">
        <v>2538560.462684039</v>
      </c>
      <c r="C378" s="77">
        <v>361433.89919937705</v>
      </c>
    </row>
    <row r="379" spans="1:3" x14ac:dyDescent="0.3">
      <c r="A379">
        <f t="shared" si="5"/>
        <v>378</v>
      </c>
      <c r="B379" s="77">
        <v>2034615.1719918926</v>
      </c>
      <c r="C379" s="77">
        <v>289683.42719941336</v>
      </c>
    </row>
    <row r="380" spans="1:3" x14ac:dyDescent="0.3">
      <c r="A380">
        <f t="shared" si="5"/>
        <v>379</v>
      </c>
      <c r="B380" s="77">
        <v>1796260.380249985</v>
      </c>
      <c r="C380" s="77">
        <v>255747.06718809943</v>
      </c>
    </row>
    <row r="381" spans="1:3" x14ac:dyDescent="0.3">
      <c r="A381">
        <f t="shared" si="5"/>
        <v>380</v>
      </c>
      <c r="B381" s="77">
        <v>2108315.8320502918</v>
      </c>
      <c r="C381" s="77">
        <v>300176.74312788661</v>
      </c>
    </row>
    <row r="382" spans="1:3" x14ac:dyDescent="0.3">
      <c r="A382">
        <f t="shared" si="5"/>
        <v>381</v>
      </c>
      <c r="B382" s="77">
        <v>2162475.3334347904</v>
      </c>
      <c r="C382" s="77">
        <v>307887.83768397081</v>
      </c>
    </row>
    <row r="383" spans="1:3" x14ac:dyDescent="0.3">
      <c r="A383">
        <f t="shared" si="5"/>
        <v>382</v>
      </c>
      <c r="B383" s="77">
        <v>2202819.6521736071</v>
      </c>
      <c r="C383" s="77">
        <v>313631.96103524038</v>
      </c>
    </row>
    <row r="384" spans="1:3" x14ac:dyDescent="0.3">
      <c r="A384">
        <f t="shared" si="5"/>
        <v>383</v>
      </c>
      <c r="B384" s="77">
        <v>2560405.0871305265</v>
      </c>
      <c r="C384" s="77">
        <v>364544.08227608504</v>
      </c>
    </row>
    <row r="385" spans="1:3" x14ac:dyDescent="0.3">
      <c r="A385">
        <f t="shared" si="5"/>
        <v>384</v>
      </c>
      <c r="B385" s="77">
        <v>2514426.4665031568</v>
      </c>
      <c r="C385" s="77">
        <v>357997.76109231124</v>
      </c>
    </row>
    <row r="386" spans="1:3" x14ac:dyDescent="0.3">
      <c r="A386">
        <f t="shared" si="5"/>
        <v>385</v>
      </c>
      <c r="B386" s="77">
        <v>2249575.5369184301</v>
      </c>
      <c r="C386" s="77">
        <v>320288.94714301673</v>
      </c>
    </row>
    <row r="387" spans="1:3" x14ac:dyDescent="0.3">
      <c r="A387">
        <f t="shared" si="5"/>
        <v>386</v>
      </c>
      <c r="B387" s="77">
        <v>2219515.0982818156</v>
      </c>
      <c r="C387" s="77">
        <v>316009.01695904636</v>
      </c>
    </row>
    <row r="388" spans="1:3" x14ac:dyDescent="0.3">
      <c r="A388">
        <f t="shared" si="5"/>
        <v>387</v>
      </c>
      <c r="B388" s="77">
        <v>2499446.8230726724</v>
      </c>
      <c r="C388" s="77">
        <v>355864.9968689325</v>
      </c>
    </row>
    <row r="389" spans="1:3" x14ac:dyDescent="0.3">
      <c r="A389">
        <f t="shared" ref="A389:A452" si="6">A388+1</f>
        <v>388</v>
      </c>
      <c r="B389" s="77">
        <v>2222453.5115203462</v>
      </c>
      <c r="C389" s="77">
        <v>316427.38089792937</v>
      </c>
    </row>
    <row r="390" spans="1:3" x14ac:dyDescent="0.3">
      <c r="A390">
        <f t="shared" si="6"/>
        <v>389</v>
      </c>
      <c r="B390" s="77">
        <v>2504084.7141581303</v>
      </c>
      <c r="C390" s="77">
        <v>356525.32821960154</v>
      </c>
    </row>
    <row r="391" spans="1:3" x14ac:dyDescent="0.3">
      <c r="A391">
        <f t="shared" si="6"/>
        <v>390</v>
      </c>
      <c r="B391" s="77">
        <v>2017175.7553371673</v>
      </c>
      <c r="C391" s="77">
        <v>287200.44660709152</v>
      </c>
    </row>
    <row r="392" spans="1:3" x14ac:dyDescent="0.3">
      <c r="A392">
        <f t="shared" si="6"/>
        <v>391</v>
      </c>
      <c r="B392" s="77">
        <v>2329838.3871944435</v>
      </c>
      <c r="C392" s="77">
        <v>331716.57132709591</v>
      </c>
    </row>
    <row r="393" spans="1:3" x14ac:dyDescent="0.3">
      <c r="A393">
        <f t="shared" si="6"/>
        <v>392</v>
      </c>
      <c r="B393" s="77">
        <v>1956808.4197408725</v>
      </c>
      <c r="C393" s="77">
        <v>278605.49611858634</v>
      </c>
    </row>
    <row r="394" spans="1:3" x14ac:dyDescent="0.3">
      <c r="A394">
        <f t="shared" si="6"/>
        <v>393</v>
      </c>
      <c r="B394" s="77">
        <v>1954627.9410967138</v>
      </c>
      <c r="C394" s="77">
        <v>278295.04501448065</v>
      </c>
    </row>
    <row r="395" spans="1:3" x14ac:dyDescent="0.3">
      <c r="A395">
        <f t="shared" si="6"/>
        <v>394</v>
      </c>
      <c r="B395" s="77">
        <v>2169656.8239384405</v>
      </c>
      <c r="C395" s="77">
        <v>308910.32036774076</v>
      </c>
    </row>
    <row r="396" spans="1:3" x14ac:dyDescent="0.3">
      <c r="A396">
        <f t="shared" si="6"/>
        <v>395</v>
      </c>
      <c r="B396" s="77">
        <v>2885891.2972544613</v>
      </c>
      <c r="C396" s="77">
        <v>410885.99604572519</v>
      </c>
    </row>
    <row r="397" spans="1:3" x14ac:dyDescent="0.3">
      <c r="A397">
        <f t="shared" si="6"/>
        <v>396</v>
      </c>
      <c r="B397" s="77">
        <v>2459441.9228306585</v>
      </c>
      <c r="C397" s="77">
        <v>350169.19907561725</v>
      </c>
    </row>
    <row r="398" spans="1:3" x14ac:dyDescent="0.3">
      <c r="A398">
        <f t="shared" si="6"/>
        <v>397</v>
      </c>
      <c r="B398" s="77">
        <v>2944531.7819454195</v>
      </c>
      <c r="C398" s="77">
        <v>419235.08181474608</v>
      </c>
    </row>
    <row r="399" spans="1:3" x14ac:dyDescent="0.3">
      <c r="A399">
        <f t="shared" si="6"/>
        <v>398</v>
      </c>
      <c r="B399" s="77">
        <v>2317445.6827887008</v>
      </c>
      <c r="C399" s="77">
        <v>329952.12902176782</v>
      </c>
    </row>
    <row r="400" spans="1:3" x14ac:dyDescent="0.3">
      <c r="A400">
        <f t="shared" si="6"/>
        <v>399</v>
      </c>
      <c r="B400" s="77">
        <v>2219454.8212618669</v>
      </c>
      <c r="C400" s="77">
        <v>316000.43486747425</v>
      </c>
    </row>
    <row r="401" spans="1:3" x14ac:dyDescent="0.3">
      <c r="A401">
        <f t="shared" si="6"/>
        <v>400</v>
      </c>
      <c r="B401" s="77">
        <v>2288018.504623712</v>
      </c>
      <c r="C401" s="77">
        <v>325762.36088232353</v>
      </c>
    </row>
    <row r="402" spans="1:3" x14ac:dyDescent="0.3">
      <c r="A402">
        <f t="shared" si="6"/>
        <v>401</v>
      </c>
      <c r="B402" s="77">
        <v>2520732.7963277446</v>
      </c>
      <c r="C402" s="77">
        <v>358895.64058411116</v>
      </c>
    </row>
    <row r="403" spans="1:3" x14ac:dyDescent="0.3">
      <c r="A403">
        <f t="shared" si="6"/>
        <v>402</v>
      </c>
      <c r="B403" s="77">
        <v>2433616.86945028</v>
      </c>
      <c r="C403" s="77">
        <v>346492.29246751801</v>
      </c>
    </row>
    <row r="404" spans="1:3" x14ac:dyDescent="0.3">
      <c r="A404">
        <f t="shared" si="6"/>
        <v>403</v>
      </c>
      <c r="B404" s="77">
        <v>2335980.9784644088</v>
      </c>
      <c r="C404" s="77">
        <v>332591.13813238847</v>
      </c>
    </row>
    <row r="405" spans="1:3" x14ac:dyDescent="0.3">
      <c r="A405">
        <f t="shared" si="6"/>
        <v>404</v>
      </c>
      <c r="B405" s="77">
        <v>2753981.8992968672</v>
      </c>
      <c r="C405" s="77">
        <v>392105.06537825277</v>
      </c>
    </row>
    <row r="406" spans="1:3" x14ac:dyDescent="0.3">
      <c r="A406">
        <f t="shared" si="6"/>
        <v>405</v>
      </c>
      <c r="B406" s="77">
        <v>2540256.3605794497</v>
      </c>
      <c r="C406" s="77">
        <v>361675.35690660618</v>
      </c>
    </row>
    <row r="407" spans="1:3" x14ac:dyDescent="0.3">
      <c r="A407">
        <f t="shared" si="6"/>
        <v>406</v>
      </c>
      <c r="B407" s="77">
        <v>2745391.9597038315</v>
      </c>
      <c r="C407" s="77">
        <v>390882.05123041745</v>
      </c>
    </row>
    <row r="408" spans="1:3" x14ac:dyDescent="0.3">
      <c r="A408">
        <f t="shared" si="6"/>
        <v>407</v>
      </c>
      <c r="B408" s="77">
        <v>2255006.7003702624</v>
      </c>
      <c r="C408" s="77">
        <v>321062.22263219277</v>
      </c>
    </row>
    <row r="409" spans="1:3" x14ac:dyDescent="0.3">
      <c r="A409">
        <f t="shared" si="6"/>
        <v>408</v>
      </c>
      <c r="B409" s="77">
        <v>2307944.602764484</v>
      </c>
      <c r="C409" s="77">
        <v>328599.38897470699</v>
      </c>
    </row>
    <row r="410" spans="1:3" x14ac:dyDescent="0.3">
      <c r="A410">
        <f t="shared" si="6"/>
        <v>409</v>
      </c>
      <c r="B410" s="77">
        <v>1887272.1433541514</v>
      </c>
      <c r="C410" s="77">
        <v>268705.09473768517</v>
      </c>
    </row>
    <row r="411" spans="1:3" x14ac:dyDescent="0.3">
      <c r="A411">
        <f t="shared" si="6"/>
        <v>410</v>
      </c>
      <c r="B411" s="77">
        <v>2129034.7798076216</v>
      </c>
      <c r="C411" s="77">
        <v>303126.655168714</v>
      </c>
    </row>
    <row r="412" spans="1:3" x14ac:dyDescent="0.3">
      <c r="A412">
        <f t="shared" si="6"/>
        <v>411</v>
      </c>
      <c r="B412" s="77">
        <v>2309497.7526019672</v>
      </c>
      <c r="C412" s="77">
        <v>328820.52256992931</v>
      </c>
    </row>
    <row r="413" spans="1:3" x14ac:dyDescent="0.3">
      <c r="A413">
        <f t="shared" si="6"/>
        <v>412</v>
      </c>
      <c r="B413" s="77">
        <v>2554107.0953262909</v>
      </c>
      <c r="C413" s="77">
        <v>363647.38993080059</v>
      </c>
    </row>
    <row r="414" spans="1:3" x14ac:dyDescent="0.3">
      <c r="A414">
        <f t="shared" si="6"/>
        <v>413</v>
      </c>
      <c r="B414" s="77">
        <v>2733470.6835690164</v>
      </c>
      <c r="C414" s="77">
        <v>389184.72970501916</v>
      </c>
    </row>
    <row r="415" spans="1:3" x14ac:dyDescent="0.3">
      <c r="A415">
        <f t="shared" si="6"/>
        <v>414</v>
      </c>
      <c r="B415" s="77">
        <v>2487747.3163230754</v>
      </c>
      <c r="C415" s="77">
        <v>354199.25031478296</v>
      </c>
    </row>
    <row r="416" spans="1:3" x14ac:dyDescent="0.3">
      <c r="A416">
        <f t="shared" si="6"/>
        <v>415</v>
      </c>
      <c r="B416" s="77">
        <v>1955049.6459069606</v>
      </c>
      <c r="C416" s="77">
        <v>278355.08629225171</v>
      </c>
    </row>
    <row r="417" spans="1:3" x14ac:dyDescent="0.3">
      <c r="A417">
        <f t="shared" si="6"/>
        <v>416</v>
      </c>
      <c r="B417" s="77">
        <v>2162226.3617619253</v>
      </c>
      <c r="C417" s="77">
        <v>307852.38971893844</v>
      </c>
    </row>
    <row r="418" spans="1:3" x14ac:dyDescent="0.3">
      <c r="A418">
        <f t="shared" si="6"/>
        <v>417</v>
      </c>
      <c r="B418" s="77">
        <v>2295677.9251773823</v>
      </c>
      <c r="C418" s="77">
        <v>326852.89005309372</v>
      </c>
    </row>
    <row r="419" spans="1:3" x14ac:dyDescent="0.3">
      <c r="A419">
        <f t="shared" si="6"/>
        <v>418</v>
      </c>
      <c r="B419" s="77">
        <v>1987523.7840206008</v>
      </c>
      <c r="C419" s="77">
        <v>282978.67298009538</v>
      </c>
    </row>
    <row r="420" spans="1:3" x14ac:dyDescent="0.3">
      <c r="A420">
        <f t="shared" si="6"/>
        <v>419</v>
      </c>
      <c r="B420" s="77">
        <v>2654473.869274626</v>
      </c>
      <c r="C420" s="77">
        <v>377937.36056236649</v>
      </c>
    </row>
    <row r="421" spans="1:3" x14ac:dyDescent="0.3">
      <c r="A421">
        <f t="shared" si="6"/>
        <v>420</v>
      </c>
      <c r="B421" s="77">
        <v>2640040.001047662</v>
      </c>
      <c r="C421" s="77">
        <v>375882.30244951544</v>
      </c>
    </row>
    <row r="422" spans="1:3" x14ac:dyDescent="0.3">
      <c r="A422">
        <f t="shared" si="6"/>
        <v>421</v>
      </c>
      <c r="B422" s="77">
        <v>2225948.3951170547</v>
      </c>
      <c r="C422" s="77">
        <v>316924.97369675158</v>
      </c>
    </row>
    <row r="423" spans="1:3" x14ac:dyDescent="0.3">
      <c r="A423">
        <f t="shared" si="6"/>
        <v>422</v>
      </c>
      <c r="B423" s="77">
        <v>2625489.2794291889</v>
      </c>
      <c r="C423" s="77">
        <v>373810.60704259621</v>
      </c>
    </row>
    <row r="424" spans="1:3" x14ac:dyDescent="0.3">
      <c r="A424">
        <f t="shared" si="6"/>
        <v>423</v>
      </c>
      <c r="B424" s="77">
        <v>2524861.0145672392</v>
      </c>
      <c r="C424" s="77">
        <v>359483.40598776401</v>
      </c>
    </row>
    <row r="425" spans="1:3" x14ac:dyDescent="0.3">
      <c r="A425">
        <f t="shared" si="6"/>
        <v>424</v>
      </c>
      <c r="B425" s="77">
        <v>2159055.4322905517</v>
      </c>
      <c r="C425" s="77">
        <v>307400.92069947964</v>
      </c>
    </row>
    <row r="426" spans="1:3" x14ac:dyDescent="0.3">
      <c r="A426">
        <f t="shared" si="6"/>
        <v>425</v>
      </c>
      <c r="B426" s="77">
        <v>2603248.0105438563</v>
      </c>
      <c r="C426" s="77">
        <v>370643.9507212147</v>
      </c>
    </row>
    <row r="427" spans="1:3" x14ac:dyDescent="0.3">
      <c r="A427">
        <f t="shared" si="6"/>
        <v>426</v>
      </c>
      <c r="B427" s="77">
        <v>2766778.1257261755</v>
      </c>
      <c r="C427" s="77">
        <v>393926.96014159161</v>
      </c>
    </row>
    <row r="428" spans="1:3" x14ac:dyDescent="0.3">
      <c r="A428">
        <f t="shared" si="6"/>
        <v>427</v>
      </c>
      <c r="B428" s="77">
        <v>2215041.2377019357</v>
      </c>
      <c r="C428" s="77">
        <v>315372.03986213269</v>
      </c>
    </row>
    <row r="429" spans="1:3" x14ac:dyDescent="0.3">
      <c r="A429">
        <f t="shared" si="6"/>
        <v>428</v>
      </c>
      <c r="B429" s="77">
        <v>2267202.0021194494</v>
      </c>
      <c r="C429" s="77">
        <v>322798.55924024869</v>
      </c>
    </row>
    <row r="430" spans="1:3" x14ac:dyDescent="0.3">
      <c r="A430">
        <f t="shared" si="6"/>
        <v>429</v>
      </c>
      <c r="B430" s="77">
        <v>2683868.0242591058</v>
      </c>
      <c r="C430" s="77">
        <v>382122.42694383778</v>
      </c>
    </row>
    <row r="431" spans="1:3" x14ac:dyDescent="0.3">
      <c r="A431">
        <f t="shared" si="6"/>
        <v>430</v>
      </c>
      <c r="B431" s="77">
        <v>2657381.2294699284</v>
      </c>
      <c r="C431" s="77">
        <v>378351.30324650253</v>
      </c>
    </row>
    <row r="432" spans="1:3" x14ac:dyDescent="0.3">
      <c r="A432">
        <f t="shared" si="6"/>
        <v>431</v>
      </c>
      <c r="B432" s="77">
        <v>2733657.5425631083</v>
      </c>
      <c r="C432" s="77">
        <v>389211.33422196005</v>
      </c>
    </row>
    <row r="433" spans="1:3" x14ac:dyDescent="0.3">
      <c r="A433">
        <f t="shared" si="6"/>
        <v>432</v>
      </c>
      <c r="B433" s="77">
        <v>2562634.7541245474</v>
      </c>
      <c r="C433" s="77">
        <v>364861.53669460735</v>
      </c>
    </row>
    <row r="434" spans="1:3" x14ac:dyDescent="0.3">
      <c r="A434">
        <f t="shared" si="6"/>
        <v>433</v>
      </c>
      <c r="B434" s="77">
        <v>2157639.9533468774</v>
      </c>
      <c r="C434" s="77">
        <v>307199.38834231609</v>
      </c>
    </row>
    <row r="435" spans="1:3" x14ac:dyDescent="0.3">
      <c r="A435">
        <f t="shared" si="6"/>
        <v>434</v>
      </c>
      <c r="B435" s="77">
        <v>2528864.0949404472</v>
      </c>
      <c r="C435" s="77">
        <v>360053.35457451828</v>
      </c>
    </row>
    <row r="436" spans="1:3" x14ac:dyDescent="0.3">
      <c r="A436">
        <f t="shared" si="6"/>
        <v>435</v>
      </c>
      <c r="B436" s="77">
        <v>2826428.4131732034</v>
      </c>
      <c r="C436" s="77">
        <v>402419.81910526892</v>
      </c>
    </row>
    <row r="437" spans="1:3" x14ac:dyDescent="0.3">
      <c r="A437">
        <f t="shared" si="6"/>
        <v>436</v>
      </c>
      <c r="B437" s="77">
        <v>1791956.897638235</v>
      </c>
      <c r="C437" s="77">
        <v>255134.34808080786</v>
      </c>
    </row>
    <row r="438" spans="1:3" x14ac:dyDescent="0.3">
      <c r="A438">
        <f t="shared" si="6"/>
        <v>437</v>
      </c>
      <c r="B438" s="77">
        <v>2117893.2637597653</v>
      </c>
      <c r="C438" s="77">
        <v>301540.35393722338</v>
      </c>
    </row>
    <row r="439" spans="1:3" x14ac:dyDescent="0.3">
      <c r="A439">
        <f t="shared" si="6"/>
        <v>438</v>
      </c>
      <c r="B439" s="77">
        <v>2495123.5736441296</v>
      </c>
      <c r="C439" s="77">
        <v>355249.46341162903</v>
      </c>
    </row>
    <row r="440" spans="1:3" x14ac:dyDescent="0.3">
      <c r="A440">
        <f t="shared" si="6"/>
        <v>439</v>
      </c>
      <c r="B440" s="77">
        <v>2291690.7981170649</v>
      </c>
      <c r="C440" s="77">
        <v>326285.21285918908</v>
      </c>
    </row>
    <row r="441" spans="1:3" x14ac:dyDescent="0.3">
      <c r="A441">
        <f t="shared" si="6"/>
        <v>440</v>
      </c>
      <c r="B441" s="77">
        <v>2437975.3328056941</v>
      </c>
      <c r="C441" s="77">
        <v>347112.83959579066</v>
      </c>
    </row>
    <row r="442" spans="1:3" x14ac:dyDescent="0.3">
      <c r="A442">
        <f t="shared" si="6"/>
        <v>441</v>
      </c>
      <c r="B442" s="77">
        <v>2371797.7390372823</v>
      </c>
      <c r="C442" s="77">
        <v>337690.63905853813</v>
      </c>
    </row>
    <row r="443" spans="1:3" x14ac:dyDescent="0.3">
      <c r="A443">
        <f t="shared" si="6"/>
        <v>442</v>
      </c>
      <c r="B443" s="77">
        <v>2282725.8283540169</v>
      </c>
      <c r="C443" s="77">
        <v>325008.80285229994</v>
      </c>
    </row>
    <row r="444" spans="1:3" x14ac:dyDescent="0.3">
      <c r="A444">
        <f t="shared" si="6"/>
        <v>443</v>
      </c>
      <c r="B444" s="77">
        <v>2528247.1493473356</v>
      </c>
      <c r="C444" s="77">
        <v>359965.51540165237</v>
      </c>
    </row>
    <row r="445" spans="1:3" x14ac:dyDescent="0.3">
      <c r="A445">
        <f t="shared" si="6"/>
        <v>444</v>
      </c>
      <c r="B445" s="77">
        <v>2627457.2475987608</v>
      </c>
      <c r="C445" s="77">
        <v>374090.80143602676</v>
      </c>
    </row>
    <row r="446" spans="1:3" x14ac:dyDescent="0.3">
      <c r="A446">
        <f t="shared" si="6"/>
        <v>445</v>
      </c>
      <c r="B446" s="77">
        <v>2494282.0375668816</v>
      </c>
      <c r="C446" s="77">
        <v>355129.64760649554</v>
      </c>
    </row>
    <row r="447" spans="1:3" x14ac:dyDescent="0.3">
      <c r="A447">
        <f t="shared" si="6"/>
        <v>446</v>
      </c>
      <c r="B447" s="77">
        <v>2528077.0262160096</v>
      </c>
      <c r="C447" s="77">
        <v>359941.29369505803</v>
      </c>
    </row>
    <row r="448" spans="1:3" x14ac:dyDescent="0.3">
      <c r="A448">
        <f t="shared" si="6"/>
        <v>447</v>
      </c>
      <c r="B448" s="77">
        <v>2194245.5033383835</v>
      </c>
      <c r="C448" s="77">
        <v>312411.19513606851</v>
      </c>
    </row>
    <row r="449" spans="1:3" x14ac:dyDescent="0.3">
      <c r="A449">
        <f t="shared" si="6"/>
        <v>448</v>
      </c>
      <c r="B449" s="77">
        <v>2606521.8557877401</v>
      </c>
      <c r="C449" s="77">
        <v>371110.07263135473</v>
      </c>
    </row>
    <row r="450" spans="1:3" x14ac:dyDescent="0.3">
      <c r="A450">
        <f t="shared" si="6"/>
        <v>449</v>
      </c>
      <c r="B450" s="77">
        <v>2103614.2919955975</v>
      </c>
      <c r="C450" s="77">
        <v>299507.34959592659</v>
      </c>
    </row>
    <row r="451" spans="1:3" x14ac:dyDescent="0.3">
      <c r="A451">
        <f t="shared" si="6"/>
        <v>450</v>
      </c>
      <c r="B451" s="77">
        <v>2317326.3403178705</v>
      </c>
      <c r="C451" s="77">
        <v>329935.13733880175</v>
      </c>
    </row>
    <row r="452" spans="1:3" x14ac:dyDescent="0.3">
      <c r="A452">
        <f t="shared" si="6"/>
        <v>451</v>
      </c>
      <c r="B452" s="77">
        <v>2573059.4236038323</v>
      </c>
      <c r="C452" s="77">
        <v>366345.77510182612</v>
      </c>
    </row>
    <row r="453" spans="1:3" x14ac:dyDescent="0.3">
      <c r="A453">
        <f t="shared" ref="A453:A501" si="7">A452+1</f>
        <v>452</v>
      </c>
      <c r="B453" s="77">
        <v>2409227.5790522359</v>
      </c>
      <c r="C453" s="77">
        <v>343019.80620735203</v>
      </c>
    </row>
    <row r="454" spans="1:3" x14ac:dyDescent="0.3">
      <c r="A454">
        <f t="shared" si="7"/>
        <v>453</v>
      </c>
      <c r="B454" s="77">
        <v>2151166.5170150921</v>
      </c>
      <c r="C454" s="77">
        <v>306277.71664333192</v>
      </c>
    </row>
    <row r="455" spans="1:3" x14ac:dyDescent="0.3">
      <c r="A455">
        <f t="shared" si="7"/>
        <v>454</v>
      </c>
      <c r="B455" s="77">
        <v>2554228.9922956629</v>
      </c>
      <c r="C455" s="77">
        <v>363664.74531688984</v>
      </c>
    </row>
    <row r="456" spans="1:3" x14ac:dyDescent="0.3">
      <c r="A456">
        <f t="shared" si="7"/>
        <v>455</v>
      </c>
      <c r="B456" s="77">
        <v>2350408.7483901875</v>
      </c>
      <c r="C456" s="77">
        <v>334645.32798434579</v>
      </c>
    </row>
    <row r="457" spans="1:3" x14ac:dyDescent="0.3">
      <c r="A457">
        <f t="shared" si="7"/>
        <v>456</v>
      </c>
      <c r="B457" s="77">
        <v>2838769.9745470616</v>
      </c>
      <c r="C457" s="77">
        <v>404176.97979343531</v>
      </c>
    </row>
    <row r="458" spans="1:3" x14ac:dyDescent="0.3">
      <c r="A458">
        <f t="shared" si="7"/>
        <v>457</v>
      </c>
      <c r="B458" s="77">
        <v>1868362.1022603957</v>
      </c>
      <c r="C458" s="77">
        <v>266012.73031028436</v>
      </c>
    </row>
    <row r="459" spans="1:3" x14ac:dyDescent="0.3">
      <c r="A459">
        <f t="shared" si="7"/>
        <v>458</v>
      </c>
      <c r="B459" s="77">
        <v>2462812.5261168675</v>
      </c>
      <c r="C459" s="77">
        <v>350649.09715419234</v>
      </c>
    </row>
    <row r="460" spans="1:3" x14ac:dyDescent="0.3">
      <c r="A460">
        <f t="shared" si="7"/>
        <v>459</v>
      </c>
      <c r="B460" s="77">
        <v>2651909.7252732879</v>
      </c>
      <c r="C460" s="77">
        <v>377572.28414282261</v>
      </c>
    </row>
    <row r="461" spans="1:3" x14ac:dyDescent="0.3">
      <c r="A461">
        <f t="shared" si="7"/>
        <v>460</v>
      </c>
      <c r="B461" s="77">
        <v>2188980.8838372398</v>
      </c>
      <c r="C461" s="77">
        <v>311661.63175868586</v>
      </c>
    </row>
    <row r="462" spans="1:3" x14ac:dyDescent="0.3">
      <c r="A462">
        <f t="shared" si="7"/>
        <v>461</v>
      </c>
      <c r="B462" s="77">
        <v>2085385.9276100744</v>
      </c>
      <c r="C462" s="77">
        <v>296912.04059591144</v>
      </c>
    </row>
    <row r="463" spans="1:3" x14ac:dyDescent="0.3">
      <c r="A463">
        <f t="shared" si="7"/>
        <v>462</v>
      </c>
      <c r="B463" s="77">
        <v>2336934.8862157203</v>
      </c>
      <c r="C463" s="77">
        <v>332726.95313585253</v>
      </c>
    </row>
    <row r="464" spans="1:3" x14ac:dyDescent="0.3">
      <c r="A464">
        <f t="shared" si="7"/>
        <v>463</v>
      </c>
      <c r="B464" s="77">
        <v>2282892.1260619913</v>
      </c>
      <c r="C464" s="77">
        <v>325032.47990467062</v>
      </c>
    </row>
    <row r="465" spans="1:3" x14ac:dyDescent="0.3">
      <c r="A465">
        <f t="shared" si="7"/>
        <v>464</v>
      </c>
      <c r="B465" s="77">
        <v>2088782.3793895629</v>
      </c>
      <c r="C465" s="77">
        <v>297395.61891840887</v>
      </c>
    </row>
    <row r="466" spans="1:3" x14ac:dyDescent="0.3">
      <c r="A466">
        <f t="shared" si="7"/>
        <v>465</v>
      </c>
      <c r="B466" s="77">
        <v>2609432.5675056833</v>
      </c>
      <c r="C466" s="77">
        <v>371524.49249691475</v>
      </c>
    </row>
    <row r="467" spans="1:3" x14ac:dyDescent="0.3">
      <c r="A467">
        <f t="shared" si="7"/>
        <v>466</v>
      </c>
      <c r="B467" s="77">
        <v>1873729.7890557777</v>
      </c>
      <c r="C467" s="77">
        <v>266776.96815163351</v>
      </c>
    </row>
    <row r="468" spans="1:3" x14ac:dyDescent="0.3">
      <c r="A468">
        <f t="shared" si="7"/>
        <v>467</v>
      </c>
      <c r="B468" s="77">
        <v>2651753.8305261377</v>
      </c>
      <c r="C468" s="77">
        <v>377550.08823803504</v>
      </c>
    </row>
    <row r="469" spans="1:3" x14ac:dyDescent="0.3">
      <c r="A469">
        <f t="shared" si="7"/>
        <v>468</v>
      </c>
      <c r="B469" s="77">
        <v>1951572.7648359556</v>
      </c>
      <c r="C469" s="77">
        <v>277860.05664808198</v>
      </c>
    </row>
    <row r="470" spans="1:3" x14ac:dyDescent="0.3">
      <c r="A470">
        <f t="shared" si="7"/>
        <v>469</v>
      </c>
      <c r="B470" s="77">
        <v>2223519.6511368873</v>
      </c>
      <c r="C470" s="77">
        <v>316579.17519409122</v>
      </c>
    </row>
    <row r="471" spans="1:3" x14ac:dyDescent="0.3">
      <c r="A471">
        <f t="shared" si="7"/>
        <v>470</v>
      </c>
      <c r="B471" s="77">
        <v>1945996.726736922</v>
      </c>
      <c r="C471" s="77">
        <v>277066.15426842892</v>
      </c>
    </row>
    <row r="472" spans="1:3" x14ac:dyDescent="0.3">
      <c r="A472">
        <f t="shared" si="7"/>
        <v>471</v>
      </c>
      <c r="B472" s="77">
        <v>2328120.6326675736</v>
      </c>
      <c r="C472" s="77">
        <v>331472.00172726158</v>
      </c>
    </row>
    <row r="473" spans="1:3" x14ac:dyDescent="0.3">
      <c r="A473">
        <f t="shared" si="7"/>
        <v>472</v>
      </c>
      <c r="B473" s="77">
        <v>1797388.7874509573</v>
      </c>
      <c r="C473" s="77">
        <v>255907.72698743347</v>
      </c>
    </row>
    <row r="474" spans="1:3" x14ac:dyDescent="0.3">
      <c r="A474">
        <f t="shared" si="7"/>
        <v>473</v>
      </c>
      <c r="B474" s="77">
        <v>1857414.3137587688</v>
      </c>
      <c r="C474" s="77">
        <v>264454.01152303535</v>
      </c>
    </row>
    <row r="475" spans="1:3" x14ac:dyDescent="0.3">
      <c r="A475">
        <f t="shared" si="7"/>
        <v>474</v>
      </c>
      <c r="B475" s="77">
        <v>2315337.8043703674</v>
      </c>
      <c r="C475" s="77">
        <v>329652.01455651264</v>
      </c>
    </row>
    <row r="476" spans="1:3" x14ac:dyDescent="0.3">
      <c r="A476">
        <f t="shared" si="7"/>
        <v>475</v>
      </c>
      <c r="B476" s="77">
        <v>2253402.8746420024</v>
      </c>
      <c r="C476" s="77">
        <v>320833.87393019319</v>
      </c>
    </row>
    <row r="477" spans="1:3" x14ac:dyDescent="0.3">
      <c r="A477">
        <f t="shared" si="7"/>
        <v>476</v>
      </c>
      <c r="B477" s="77">
        <v>2688821.2491454268</v>
      </c>
      <c r="C477" s="77">
        <v>382827.65473359922</v>
      </c>
    </row>
    <row r="478" spans="1:3" x14ac:dyDescent="0.3">
      <c r="A478">
        <f t="shared" si="7"/>
        <v>477</v>
      </c>
      <c r="B478" s="77">
        <v>2570917.7419091365</v>
      </c>
      <c r="C478" s="77">
        <v>366040.84781049844</v>
      </c>
    </row>
    <row r="479" spans="1:3" x14ac:dyDescent="0.3">
      <c r="A479">
        <f t="shared" si="7"/>
        <v>478</v>
      </c>
      <c r="B479" s="77">
        <v>2728214.3550790204</v>
      </c>
      <c r="C479" s="77">
        <v>388436.34678109881</v>
      </c>
    </row>
    <row r="480" spans="1:3" x14ac:dyDescent="0.3">
      <c r="A480">
        <f t="shared" si="7"/>
        <v>479</v>
      </c>
      <c r="B480" s="77">
        <v>2493810.3911994281</v>
      </c>
      <c r="C480" s="77">
        <v>355062.49577452708</v>
      </c>
    </row>
    <row r="481" spans="1:3" x14ac:dyDescent="0.3">
      <c r="A481">
        <f t="shared" si="7"/>
        <v>480</v>
      </c>
      <c r="B481" s="77">
        <v>2279021.5103932931</v>
      </c>
      <c r="C481" s="77">
        <v>324481.39131174394</v>
      </c>
    </row>
    <row r="482" spans="1:3" x14ac:dyDescent="0.3">
      <c r="A482">
        <f t="shared" si="7"/>
        <v>481</v>
      </c>
      <c r="B482" s="77">
        <v>2124205.6034402666</v>
      </c>
      <c r="C482" s="77">
        <v>302439.08909729996</v>
      </c>
    </row>
    <row r="483" spans="1:3" x14ac:dyDescent="0.3">
      <c r="A483">
        <f t="shared" si="7"/>
        <v>482</v>
      </c>
      <c r="B483" s="77">
        <v>2470419.1814768948</v>
      </c>
      <c r="C483" s="77">
        <v>351732.11374846072</v>
      </c>
    </row>
    <row r="484" spans="1:3" x14ac:dyDescent="0.3">
      <c r="A484">
        <f t="shared" si="7"/>
        <v>483</v>
      </c>
      <c r="B484" s="77">
        <v>2142403.2680724417</v>
      </c>
      <c r="C484" s="77">
        <v>305030.02714309917</v>
      </c>
    </row>
    <row r="485" spans="1:3" x14ac:dyDescent="0.3">
      <c r="A485">
        <f t="shared" si="7"/>
        <v>484</v>
      </c>
      <c r="B485" s="77">
        <v>2836532.0348175485</v>
      </c>
      <c r="C485" s="77">
        <v>403858.34752349294</v>
      </c>
    </row>
    <row r="486" spans="1:3" x14ac:dyDescent="0.3">
      <c r="A486">
        <f t="shared" si="7"/>
        <v>485</v>
      </c>
      <c r="B486" s="77">
        <v>2475831.1760473517</v>
      </c>
      <c r="C486" s="77">
        <v>352502.66002017638</v>
      </c>
    </row>
    <row r="487" spans="1:3" x14ac:dyDescent="0.3">
      <c r="A487">
        <f t="shared" si="7"/>
        <v>486</v>
      </c>
      <c r="B487" s="77">
        <v>2523307.1332430341</v>
      </c>
      <c r="C487" s="77">
        <v>359262.16824528895</v>
      </c>
    </row>
    <row r="488" spans="1:3" x14ac:dyDescent="0.3">
      <c r="A488">
        <f t="shared" si="7"/>
        <v>487</v>
      </c>
      <c r="B488" s="77">
        <v>2026270.4247813162</v>
      </c>
      <c r="C488" s="77">
        <v>288495.32293068036</v>
      </c>
    </row>
    <row r="489" spans="1:3" x14ac:dyDescent="0.3">
      <c r="A489">
        <f t="shared" si="7"/>
        <v>488</v>
      </c>
      <c r="B489" s="77">
        <v>2481080.3132534213</v>
      </c>
      <c r="C489" s="77">
        <v>353250.01906704996</v>
      </c>
    </row>
    <row r="490" spans="1:3" x14ac:dyDescent="0.3">
      <c r="A490">
        <f t="shared" si="7"/>
        <v>489</v>
      </c>
      <c r="B490" s="77">
        <v>2343915.533428215</v>
      </c>
      <c r="C490" s="77">
        <v>333720.84025338822</v>
      </c>
    </row>
    <row r="491" spans="1:3" x14ac:dyDescent="0.3">
      <c r="A491">
        <f t="shared" si="7"/>
        <v>490</v>
      </c>
      <c r="B491" s="77">
        <v>2235359.030688927</v>
      </c>
      <c r="C491" s="77">
        <v>318264.83648855204</v>
      </c>
    </row>
    <row r="492" spans="1:3" x14ac:dyDescent="0.3">
      <c r="A492">
        <f t="shared" si="7"/>
        <v>491</v>
      </c>
      <c r="B492" s="77">
        <v>2402356.64408539</v>
      </c>
      <c r="C492" s="77">
        <v>342041.53964537039</v>
      </c>
    </row>
    <row r="493" spans="1:3" x14ac:dyDescent="0.3">
      <c r="A493">
        <f t="shared" si="7"/>
        <v>492</v>
      </c>
      <c r="B493" s="77">
        <v>1918155.7709670593</v>
      </c>
      <c r="C493" s="77">
        <v>273102.22851237288</v>
      </c>
    </row>
    <row r="494" spans="1:3" x14ac:dyDescent="0.3">
      <c r="A494">
        <f t="shared" si="7"/>
        <v>493</v>
      </c>
      <c r="B494" s="77">
        <v>2595095.5677283597</v>
      </c>
      <c r="C494" s="77">
        <v>369483.22627201665</v>
      </c>
    </row>
    <row r="495" spans="1:3" x14ac:dyDescent="0.3">
      <c r="A495">
        <f t="shared" si="7"/>
        <v>494</v>
      </c>
      <c r="B495" s="77">
        <v>2575573.4585727416</v>
      </c>
      <c r="C495" s="77">
        <v>366703.71712246875</v>
      </c>
    </row>
    <row r="496" spans="1:3" x14ac:dyDescent="0.3">
      <c r="A496">
        <f t="shared" si="7"/>
        <v>495</v>
      </c>
      <c r="B496" s="77">
        <v>2025842.1428156842</v>
      </c>
      <c r="C496" s="77">
        <v>288434.34521395044</v>
      </c>
    </row>
    <row r="497" spans="1:3" x14ac:dyDescent="0.3">
      <c r="A497">
        <f t="shared" si="7"/>
        <v>496</v>
      </c>
      <c r="B497" s="77">
        <v>2687748.2651895555</v>
      </c>
      <c r="C497" s="77">
        <v>382674.88595749578</v>
      </c>
    </row>
    <row r="498" spans="1:3" x14ac:dyDescent="0.3">
      <c r="A498">
        <f t="shared" si="7"/>
        <v>497</v>
      </c>
      <c r="B498" s="77">
        <v>2432639.8280185941</v>
      </c>
      <c r="C498" s="77">
        <v>346353.18374841346</v>
      </c>
    </row>
    <row r="499" spans="1:3" x14ac:dyDescent="0.3">
      <c r="A499">
        <f t="shared" si="7"/>
        <v>498</v>
      </c>
      <c r="B499" s="77">
        <v>2418018.7633146844</v>
      </c>
      <c r="C499" s="77">
        <v>344271.47306865553</v>
      </c>
    </row>
    <row r="500" spans="1:3" x14ac:dyDescent="0.3">
      <c r="A500">
        <f t="shared" si="7"/>
        <v>499</v>
      </c>
      <c r="B500" s="77">
        <v>2254993.5422291197</v>
      </c>
      <c r="C500" s="77">
        <v>321060.34920891636</v>
      </c>
    </row>
    <row r="501" spans="1:3" x14ac:dyDescent="0.3">
      <c r="A501">
        <f t="shared" si="7"/>
        <v>500</v>
      </c>
      <c r="B501" s="77">
        <v>2448842.1011592983</v>
      </c>
      <c r="C501" s="77">
        <v>348660.02293669357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Stochastic</vt:lpstr>
      <vt:lpstr>Sensitivity_Analysis</vt:lpstr>
      <vt:lpstr>Monte_Carlo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Tridib Banik</dc:creator>
  <cp:lastModifiedBy>Tridib Banik</cp:lastModifiedBy>
  <cp:lastPrinted>2026-03-18T00:28:47Z</cp:lastPrinted>
  <dcterms:created xsi:type="dcterms:W3CDTF">2026-03-16T02:21:28Z</dcterms:created>
  <dcterms:modified xsi:type="dcterms:W3CDTF">2026-03-30T13:57:29Z</dcterms:modified>
</cp:coreProperties>
</file>