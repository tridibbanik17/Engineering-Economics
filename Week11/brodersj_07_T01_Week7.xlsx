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mcmasteru365-my.sharepoint.com/personal/brodersj_mcmaster_ca/Documents/"/>
    </mc:Choice>
  </mc:AlternateContent>
  <xr:revisionPtr revIDLastSave="128" documentId="8_{7692568B-9D3C-4C0A-83F1-39B0246E7CFC}" xr6:coauthVersionLast="47" xr6:coauthVersionMax="47" xr10:uidLastSave="{EFF99C53-5036-4285-B6BE-4397891211C3}"/>
  <bookViews>
    <workbookView xWindow="-108" yWindow="-108" windowWidth="23256" windowHeight="13896" xr2:uid="{00000000-000D-0000-FFFF-FFFF00000000}"/>
  </bookViews>
  <sheets>
    <sheet name="PW AW Comparison" sheetId="14"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4" l="1"/>
  <c r="M15" i="14" s="1"/>
  <c r="M16" i="14" s="1"/>
  <c r="B32" i="14"/>
  <c r="B33" i="14"/>
  <c r="B34" i="14"/>
  <c r="E12" i="14"/>
  <c r="E13" i="14"/>
  <c r="E14" i="14"/>
  <c r="E5" i="14"/>
  <c r="E17" i="14" s="1"/>
  <c r="M6" i="14"/>
  <c r="M8" i="14"/>
  <c r="M9" i="14"/>
  <c r="M11" i="14"/>
  <c r="M12" i="14"/>
  <c r="M14" i="14"/>
  <c r="E6" i="14"/>
  <c r="E15" i="14" s="1"/>
  <c r="E16" i="14" s="1"/>
  <c r="E7" i="14"/>
  <c r="E9" i="14"/>
  <c r="E10" i="14"/>
  <c r="E11" i="14"/>
  <c r="M13" i="14"/>
  <c r="E8" i="14"/>
  <c r="M17" i="14" l="1"/>
  <c r="B25" i="14"/>
  <c r="B35" i="14" s="1"/>
  <c r="B31" i="14"/>
  <c r="B26" i="14"/>
  <c r="B29" i="14"/>
  <c r="M7" i="14"/>
  <c r="B27" i="14" s="1"/>
  <c r="M10" i="14"/>
  <c r="B30" i="14" s="1"/>
  <c r="B28" i="14"/>
</calcChain>
</file>

<file path=xl/sharedStrings.xml><?xml version="1.0" encoding="utf-8"?>
<sst xmlns="http://schemas.openxmlformats.org/spreadsheetml/2006/main" count="32" uniqueCount="22">
  <si>
    <t>Design A</t>
  </si>
  <si>
    <t>Design B</t>
  </si>
  <si>
    <t>Proposed HVAC System</t>
  </si>
  <si>
    <t>Year</t>
  </si>
  <si>
    <t>CapEx (Real)</t>
  </si>
  <si>
    <t>OpEx (Real)</t>
  </si>
  <si>
    <t>Net cash flow (Nominal)</t>
  </si>
  <si>
    <t>PW</t>
  </si>
  <si>
    <t>AW</t>
  </si>
  <si>
    <t>IRR</t>
  </si>
  <si>
    <t>Nominal Annual Discount Rate</t>
  </si>
  <si>
    <t>Inflation Rate</t>
  </si>
  <si>
    <t>Note: A Baseline design is used for this example. In the project, you are expected to compare the two subsystem designs you and your partner developed.</t>
  </si>
  <si>
    <t>Cash Flow Difference Design B-Design A</t>
  </si>
  <si>
    <t>IRR of Cash Flow Difference</t>
  </si>
  <si>
    <t>Monetized benefits (Real)</t>
  </si>
  <si>
    <t>Student: Tridib Banik</t>
  </si>
  <si>
    <t>Subsystem: Facility Security Software for CSA Facility</t>
  </si>
  <si>
    <t>Design: Controlling Camera and Easy to Use Security Software</t>
  </si>
  <si>
    <t>Student: Jacob Brodersen</t>
  </si>
  <si>
    <t>Design: Redundant Security Systems and Cybersecurity</t>
  </si>
  <si>
    <r>
      <t xml:space="preserve">Discussion:
</t>
    </r>
    <r>
      <rPr>
        <b/>
        <sz val="11"/>
        <color theme="1"/>
        <rFont val="Aptos Narrow"/>
        <family val="2"/>
        <scheme val="minor"/>
      </rPr>
      <t xml:space="preserve">Exercise 1
</t>
    </r>
    <r>
      <rPr>
        <sz val="11"/>
        <color theme="1"/>
        <rFont val="Aptos Narrow"/>
        <family val="2"/>
        <scheme val="minor"/>
      </rPr>
      <t xml:space="preserve">Note: We assume that all of our costs and benefits will be affected by inflation.
</t>
    </r>
    <r>
      <rPr>
        <b/>
        <sz val="11"/>
        <color theme="1"/>
        <rFont val="Aptos Narrow"/>
        <family val="2"/>
        <scheme val="minor"/>
      </rPr>
      <t xml:space="preserve">Exercise 2
</t>
    </r>
    <r>
      <rPr>
        <sz val="11"/>
        <color theme="1"/>
        <rFont val="Aptos Narrow"/>
        <family val="2"/>
        <scheme val="minor"/>
      </rPr>
      <t xml:space="preserve">The IRR is 220% and 164% for Design A and Design B respectively. These IRR values are very high because of some key, high value monitized benefits. Namely, for Design A, avoided breach cost ($50,000), reduced downtime ($60,000), and compliance and penalty avoidance ($50,000). For Design B, the replacement of patrol labour ($511,000 per year) and increased security productivity ($245,280 per year). Overall, for both designs, these monetized benefits greatly outweigh the costs of the design, leading to a high IRR.
</t>
    </r>
    <r>
      <rPr>
        <b/>
        <sz val="11"/>
        <color theme="1"/>
        <rFont val="Aptos Narrow"/>
        <family val="2"/>
        <scheme val="minor"/>
      </rPr>
      <t xml:space="preserve">Exercise 3
</t>
    </r>
    <r>
      <rPr>
        <sz val="11"/>
        <color theme="1"/>
        <rFont val="Aptos Narrow"/>
        <family val="2"/>
        <scheme val="minor"/>
      </rPr>
      <t xml:space="preserve">For both Design A and Design B, introducing inflation caused PW and AW to increase. The cost/benefit components most affected were the ones with a larger magnitude. More specifically, in both designs, the operational expenses are larger than the capital expenses and as such, are more affected by inflation. Furthermore, the monitized benefits are greater than the operational expenses and are therefore, most affected by inflation.
IRR does not agree with the conclusions suggested by PW and AW. Design A has a higher IRR than Design B, but has a lower PW and AW. This is because the ratio between monetized benefits to costs is higher for Design A, but the actual values are much lower than those of Design B.
An economic sensitivity revealed by introducing inflation and IRR is high costs/benefits in later stages of the project. In both designs, the monetized benefits heavily outweighed the operational expenses. Hence, in the later years of the project, the net cash flow starts to snowball. A risk of our project could be if later on one of our operational costs has a large growth spike (e.g., network engineer salary). With inflation, this could have a large impact on the profitability of the project in the future.
The primary design selected is Design B. This is because although Design A has a higher IRR, the costs for the project are much lower than Design B; because of this, the PW and AW of Design A are much lower than that of Design B. Overall, we determined that the additional costs we must incur, as well as the lower IRR, of Design B do not outweigh the higher PW and AW. IRR vs. MARR
</t>
    </r>
    <r>
      <rPr>
        <b/>
        <sz val="11"/>
        <color theme="1"/>
        <rFont val="Aptos Narrow"/>
        <family val="2"/>
        <scheme val="minor"/>
      </rPr>
      <t xml:space="preserve">Exercise 4
</t>
    </r>
    <r>
      <rPr>
        <sz val="11"/>
        <color theme="1"/>
        <rFont val="Aptos Narrow"/>
        <family val="2"/>
        <scheme val="minor"/>
      </rPr>
      <t>Some assumptions the two subsystems had that were already aligned include: 24/7 365 day operation, storing security data in a local facility, 7% nominal annual discount rate, 2.4% inflation rate, 1 year construction time, and the other parameter assumptions we aligned earlier as stated in the Project Management and CBA file.</t>
    </r>
    <r>
      <rPr>
        <b/>
        <sz val="11"/>
        <color theme="1"/>
        <rFont val="Aptos Narrow"/>
        <family val="2"/>
        <scheme val="minor"/>
      </rPr>
      <t xml:space="preserve">
</t>
    </r>
    <r>
      <rPr>
        <sz val="11"/>
        <color theme="1"/>
        <rFont val="Aptos Narrow"/>
        <family val="2"/>
        <scheme val="minor"/>
      </rPr>
      <t>The first significant assumption we needed to align was the project life. We decided upon a project life of 15 years moving forward. Another major assumption is the prominance of cybersecurity. In my design I include both a cost of cybersecurity in requiring to hire a network engineer and a benefit of cybersecurity in reduced cost of data breach. Moving forward, we have decided to keep this aspect and take it into account throughout the whole 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</si>
</sst>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8" formatCode="&quot;$&quot;#,##0.00;[Red]\-&quot;$&quot;#,##0.00"/>
    <numFmt numFmtId="44" formatCode="_-&quot;$&quot;* #,##0.00_-;\-&quot;$&quot;* #,##0.00_-;_-&quot;$&quot;* &quot;-&quot;??_-;_-@_-"/>
    <numFmt numFmtId="164" formatCode="0.000%"/>
  </numFmts>
  <fonts count="7" x14ac:knownFonts="1">
    <font>
      <sz val="11"/>
      <color theme="1"/>
      <name val="Aptos Narrow"/>
      <family val="2"/>
      <scheme val="minor"/>
    </font>
    <font>
      <sz val="11"/>
      <color theme="1"/>
      <name val="Arial Narrow"/>
      <family val="2"/>
    </font>
    <font>
      <b/>
      <sz val="11"/>
      <color theme="1"/>
      <name val="Aptos Narrow"/>
      <family val="2"/>
      <scheme val="minor"/>
    </font>
    <font>
      <sz val="11"/>
      <color theme="1"/>
      <name val="Aptos Narrow"/>
      <family val="2"/>
      <scheme val="minor"/>
    </font>
    <font>
      <b/>
      <sz val="12"/>
      <color rgb="FF000000"/>
      <name val="Arial Narrow"/>
      <family val="2"/>
    </font>
    <font>
      <sz val="12"/>
      <color theme="1"/>
      <name val="Arial Narrow"/>
      <family val="2"/>
    </font>
    <font>
      <sz val="12"/>
      <color rgb="FFEE0000"/>
      <name val="Arial Narrow"/>
      <family val="2"/>
    </font>
  </fonts>
  <fills count="4">
    <fill>
      <patternFill patternType="none"/>
    </fill>
    <fill>
      <patternFill patternType="gray125"/>
    </fill>
    <fill>
      <patternFill patternType="solid">
        <fgColor rgb="FFD9D9D9"/>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4" fillId="2" borderId="1" xfId="0" applyFont="1" applyFill="1" applyBorder="1" applyAlignment="1">
      <alignment horizontal="justify" vertical="center" wrapText="1"/>
    </xf>
    <xf numFmtId="6" fontId="6" fillId="0" borderId="1" xfId="0" applyNumberFormat="1" applyFont="1" applyBorder="1" applyAlignment="1">
      <alignment horizontal="left" vertical="center" wrapText="1"/>
    </xf>
    <xf numFmtId="6" fontId="5" fillId="0" borderId="1" xfId="0" applyNumberFormat="1" applyFont="1" applyBorder="1" applyAlignment="1">
      <alignment horizontal="left" vertical="center" wrapText="1"/>
    </xf>
    <xf numFmtId="8" fontId="0" fillId="0" borderId="1" xfId="1" applyNumberFormat="1" applyFont="1" applyBorder="1" applyAlignment="1">
      <alignment horizontal="right" vertical="center" wrapText="1"/>
    </xf>
    <xf numFmtId="8" fontId="3" fillId="0" borderId="1" xfId="1" applyNumberFormat="1" applyFont="1" applyBorder="1" applyAlignment="1">
      <alignment horizontal="right" vertical="center" wrapText="1"/>
    </xf>
    <xf numFmtId="0" fontId="0" fillId="3" borderId="1" xfId="0" applyFill="1" applyBorder="1"/>
    <xf numFmtId="8" fontId="0" fillId="3" borderId="1" xfId="0" applyNumberFormat="1" applyFill="1" applyBorder="1"/>
    <xf numFmtId="8" fontId="3" fillId="3" borderId="1" xfId="1" applyNumberFormat="1" applyFont="1" applyFill="1" applyBorder="1" applyAlignment="1">
      <alignment horizontal="right" vertical="center" wrapText="1"/>
    </xf>
    <xf numFmtId="9" fontId="0" fillId="0" borderId="0" xfId="0" applyNumberFormat="1"/>
    <xf numFmtId="8" fontId="0" fillId="0" borderId="0" xfId="0" applyNumberFormat="1"/>
    <xf numFmtId="8" fontId="0" fillId="0" borderId="1" xfId="0" applyNumberFormat="1" applyBorder="1"/>
    <xf numFmtId="164" fontId="0" fillId="0" borderId="0" xfId="0" applyNumberFormat="1"/>
    <xf numFmtId="10" fontId="0" fillId="0" borderId="1" xfId="0" applyNumberFormat="1" applyBorder="1"/>
    <xf numFmtId="0" fontId="2" fillId="0" borderId="3" xfId="0" applyFont="1" applyBorder="1" applyAlignment="1">
      <alignment wrapText="1"/>
    </xf>
    <xf numFmtId="0" fontId="2" fillId="0" borderId="1" xfId="0" applyFont="1" applyBorder="1"/>
    <xf numFmtId="9" fontId="0" fillId="0" borderId="3" xfId="0" applyNumberFormat="1" applyBorder="1"/>
    <xf numFmtId="0" fontId="0" fillId="0" borderId="0" xfId="0" applyAlignment="1">
      <alignment horizontal="left" wrapText="1"/>
    </xf>
    <xf numFmtId="0" fontId="0" fillId="0" borderId="2" xfId="0" applyBorder="1" applyAlignment="1">
      <alignment horizontal="left" vertical="top" wrapText="1"/>
    </xf>
    <xf numFmtId="0" fontId="0" fillId="0" borderId="2" xfId="0" applyBorder="1" applyAlignment="1">
      <alignment horizontal="left" vertical="top"/>
    </xf>
  </cellXfs>
  <cellStyles count="2">
    <cellStyle name="Currency" xfId="1" builtinId="4"/>
    <cellStyle name="Normal" xfId="0" builtinId="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Comparison'!$E$4</c:f>
              <c:strCache>
                <c:ptCount val="1"/>
                <c:pt idx="0">
                  <c:v>Net cash flow (Nominal)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Comparison'!$E$5:$E$14</c:f>
              <c:numCache>
                <c:formatCode>"$"#,##0.00_);[Red]\("$"#,##0.00\)</c:formatCode>
                <c:ptCount val="10"/>
                <c:pt idx="0">
                  <c:v>-68414.464000000007</c:v>
                </c:pt>
                <c:pt idx="1">
                  <c:v>149095.97286399998</c:v>
                </c:pt>
                <c:pt idx="2">
                  <c:v>152674.276212736</c:v>
                </c:pt>
                <c:pt idx="3">
                  <c:v>156338.45884184167</c:v>
                </c:pt>
                <c:pt idx="4">
                  <c:v>160090.58185404589</c:v>
                </c:pt>
                <c:pt idx="5">
                  <c:v>163932.75581854294</c:v>
                </c:pt>
                <c:pt idx="6">
                  <c:v>167867.141958188</c:v>
                </c:pt>
                <c:pt idx="7">
                  <c:v>171895.95336518448</c:v>
                </c:pt>
                <c:pt idx="8">
                  <c:v>176021.45624594891</c:v>
                </c:pt>
                <c:pt idx="9">
                  <c:v>180245.97119585169</c:v>
                </c:pt>
              </c:numCache>
            </c:numRef>
          </c:val>
          <c:extLst>
            <c:ext xmlns:c16="http://schemas.microsoft.com/office/drawing/2014/chart" uri="{C3380CC4-5D6E-409C-BE32-E72D297353CC}">
              <c16:uniqueId val="{00000000-E94D-417F-AE33-592CE72907CB}"/>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Comparison'!$M$4</c:f>
              <c:strCache>
                <c:ptCount val="1"/>
                <c:pt idx="0">
                  <c:v>Net cash flow (Nominal)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Comparison'!$M$5:$M$14</c:f>
              <c:numCache>
                <c:formatCode>"$"#,##0.00_);[Red]\("$"#,##0.00\)</c:formatCode>
                <c:ptCount val="10"/>
                <c:pt idx="0">
                  <c:v>-358367.63136</c:v>
                </c:pt>
                <c:pt idx="1">
                  <c:v>578177.61316863995</c:v>
                </c:pt>
                <c:pt idx="2">
                  <c:v>592053.87588468741</c:v>
                </c:pt>
                <c:pt idx="3">
                  <c:v>606263.16890591988</c:v>
                </c:pt>
                <c:pt idx="4">
                  <c:v>620813.48495966196</c:v>
                </c:pt>
                <c:pt idx="5">
                  <c:v>635713.00859869376</c:v>
                </c:pt>
                <c:pt idx="6">
                  <c:v>650970.12080506259</c:v>
                </c:pt>
                <c:pt idx="7">
                  <c:v>666593.40370438399</c:v>
                </c:pt>
                <c:pt idx="8">
                  <c:v>682591.64539328916</c:v>
                </c:pt>
                <c:pt idx="9">
                  <c:v>698973.84488272807</c:v>
                </c:pt>
              </c:numCache>
            </c:numRef>
          </c:val>
          <c:extLst>
            <c:ext xmlns:c16="http://schemas.microsoft.com/office/drawing/2014/chart" uri="{C3380CC4-5D6E-409C-BE32-E72D297353CC}">
              <c16:uniqueId val="{00000000-475F-4585-AE70-350A42035759}"/>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482599</xdr:colOff>
      <xdr:row>3</xdr:row>
      <xdr:rowOff>65086</xdr:rowOff>
    </xdr:from>
    <xdr:to>
      <xdr:col>27</xdr:col>
      <xdr:colOff>422030</xdr:colOff>
      <xdr:row>18</xdr:row>
      <xdr:rowOff>128954</xdr:rowOff>
    </xdr:to>
    <xdr:graphicFrame macro="">
      <xdr:nvGraphicFramePr>
        <xdr:cNvPr id="6" name="Chart 5">
          <a:extLst>
            <a:ext uri="{FF2B5EF4-FFF2-40B4-BE49-F238E27FC236}">
              <a16:creationId xmlns:a16="http://schemas.microsoft.com/office/drawing/2014/main" id="{8F7224F3-5C12-810C-38AE-3E4662B4A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577362</xdr:colOff>
      <xdr:row>19</xdr:row>
      <xdr:rowOff>183172</xdr:rowOff>
    </xdr:from>
    <xdr:to>
      <xdr:col>27</xdr:col>
      <xdr:colOff>468923</xdr:colOff>
      <xdr:row>40</xdr:row>
      <xdr:rowOff>1333500</xdr:rowOff>
    </xdr:to>
    <xdr:graphicFrame macro="">
      <xdr:nvGraphicFramePr>
        <xdr:cNvPr id="3" name="Chart 6">
          <a:extLst>
            <a:ext uri="{FF2B5EF4-FFF2-40B4-BE49-F238E27FC236}">
              <a16:creationId xmlns:a16="http://schemas.microsoft.com/office/drawing/2014/main" id="{1F081EE1-5CE8-4C07-BF4C-06E29C3CA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16AE-3926-464E-81B9-CD6B4977DFCE}">
  <dimension ref="A1:M41"/>
  <sheetViews>
    <sheetView tabSelected="1" topLeftCell="C4" zoomScale="65" workbookViewId="0">
      <selection activeCell="M6" sqref="M6"/>
    </sheetView>
  </sheetViews>
  <sheetFormatPr defaultRowHeight="14.4" x14ac:dyDescent="0.3"/>
  <cols>
    <col min="1" max="1" width="24.33203125" customWidth="1"/>
    <col min="2" max="2" width="41.33203125" customWidth="1"/>
    <col min="3" max="3" width="47.5546875" customWidth="1"/>
    <col min="4" max="4" width="14.33203125" customWidth="1"/>
    <col min="5" max="5" width="16.5546875" customWidth="1"/>
    <col min="7" max="7" width="11.5546875" bestFit="1" customWidth="1"/>
    <col min="9" max="9" width="21.44140625" customWidth="1"/>
    <col min="10" max="10" width="41" customWidth="1"/>
    <col min="11" max="11" width="42.44140625" customWidth="1"/>
    <col min="12" max="12" width="11.33203125" customWidth="1"/>
    <col min="13" max="13" width="18.5546875" customWidth="1"/>
    <col min="15" max="15" width="11.44140625" customWidth="1"/>
  </cols>
  <sheetData>
    <row r="1" spans="1:13" x14ac:dyDescent="0.3">
      <c r="A1" s="1" t="s">
        <v>16</v>
      </c>
      <c r="B1" s="1" t="s">
        <v>17</v>
      </c>
      <c r="C1" s="1" t="s">
        <v>18</v>
      </c>
      <c r="I1" s="1" t="s">
        <v>19</v>
      </c>
      <c r="J1" s="1" t="s">
        <v>17</v>
      </c>
      <c r="K1" s="1" t="s">
        <v>20</v>
      </c>
    </row>
    <row r="2" spans="1:13" x14ac:dyDescent="0.3">
      <c r="A2" s="1"/>
      <c r="B2" s="1"/>
      <c r="C2" s="1"/>
    </row>
    <row r="3" spans="1:13" x14ac:dyDescent="0.3">
      <c r="A3" t="s">
        <v>0</v>
      </c>
      <c r="I3" t="s">
        <v>1</v>
      </c>
      <c r="J3" t="s">
        <v>2</v>
      </c>
    </row>
    <row r="4" spans="1:13" ht="43.2" x14ac:dyDescent="0.3">
      <c r="A4" s="2" t="s">
        <v>3</v>
      </c>
      <c r="B4" s="3" t="s">
        <v>4</v>
      </c>
      <c r="C4" s="3" t="s">
        <v>5</v>
      </c>
      <c r="D4" s="3" t="s">
        <v>15</v>
      </c>
      <c r="E4" s="3" t="s">
        <v>6</v>
      </c>
      <c r="I4" s="5" t="s">
        <v>3</v>
      </c>
      <c r="J4" s="3" t="s">
        <v>4</v>
      </c>
      <c r="K4" s="3" t="s">
        <v>5</v>
      </c>
      <c r="L4" s="3" t="s">
        <v>15</v>
      </c>
      <c r="M4" s="3" t="s">
        <v>6</v>
      </c>
    </row>
    <row r="5" spans="1:13" ht="15.6" x14ac:dyDescent="0.3">
      <c r="A5" s="4">
        <v>1</v>
      </c>
      <c r="B5" s="8">
        <v>-25000</v>
      </c>
      <c r="C5" s="8">
        <v>-41811</v>
      </c>
      <c r="D5" s="8">
        <v>0</v>
      </c>
      <c r="E5" s="9">
        <f>SUM(B5:D5)*(1+$B$19)^A5</f>
        <v>-68414.464000000007</v>
      </c>
      <c r="G5" s="14"/>
      <c r="I5" s="5">
        <v>1</v>
      </c>
      <c r="J5" s="6">
        <v>-138248</v>
      </c>
      <c r="K5" s="6">
        <v>-211720.39</v>
      </c>
      <c r="L5" s="7">
        <v>0</v>
      </c>
      <c r="M5" s="8">
        <f>SUM(J5:L5)*(1+$B$19)^I5</f>
        <v>-358367.63136</v>
      </c>
    </row>
    <row r="6" spans="1:13" ht="15.6" x14ac:dyDescent="0.3">
      <c r="A6" s="4">
        <v>2</v>
      </c>
      <c r="B6" s="8">
        <v>0</v>
      </c>
      <c r="C6" s="8">
        <v>-41811</v>
      </c>
      <c r="D6" s="8">
        <v>184000</v>
      </c>
      <c r="E6" s="9">
        <f t="shared" ref="E6:E11" si="0">SUM(B6:D6)*(1+$B$19)^A6</f>
        <v>149095.97286399998</v>
      </c>
      <c r="G6" s="14"/>
      <c r="I6" s="5">
        <v>2</v>
      </c>
      <c r="J6" s="7">
        <v>0</v>
      </c>
      <c r="K6" s="6">
        <v>-211720.39</v>
      </c>
      <c r="L6" s="7">
        <v>763113.53</v>
      </c>
      <c r="M6" s="8">
        <f t="shared" ref="M6:M14" si="1">SUM(J6:L6)*(1+$B$19)^I6</f>
        <v>578177.61316863995</v>
      </c>
    </row>
    <row r="7" spans="1:13" ht="15.6" x14ac:dyDescent="0.3">
      <c r="A7" s="4">
        <v>3</v>
      </c>
      <c r="B7" s="8">
        <v>0</v>
      </c>
      <c r="C7" s="8">
        <v>-41811</v>
      </c>
      <c r="D7" s="8">
        <v>184000</v>
      </c>
      <c r="E7" s="9">
        <f t="shared" si="0"/>
        <v>152674.276212736</v>
      </c>
      <c r="G7" s="14"/>
      <c r="I7" s="5">
        <v>3</v>
      </c>
      <c r="J7" s="7">
        <v>0</v>
      </c>
      <c r="K7" s="6">
        <v>-211720.39</v>
      </c>
      <c r="L7" s="7">
        <v>763113.53</v>
      </c>
      <c r="M7" s="8">
        <f t="shared" si="1"/>
        <v>592053.87588468741</v>
      </c>
    </row>
    <row r="8" spans="1:13" ht="15.6" x14ac:dyDescent="0.3">
      <c r="A8" s="4">
        <v>4</v>
      </c>
      <c r="B8" s="8">
        <v>0</v>
      </c>
      <c r="C8" s="8">
        <v>-41811</v>
      </c>
      <c r="D8" s="8">
        <v>184000</v>
      </c>
      <c r="E8" s="9">
        <f t="shared" si="0"/>
        <v>156338.45884184167</v>
      </c>
      <c r="G8" s="14"/>
      <c r="I8" s="5">
        <v>4</v>
      </c>
      <c r="J8" s="7">
        <v>0</v>
      </c>
      <c r="K8" s="6">
        <v>-211720.39</v>
      </c>
      <c r="L8" s="7">
        <v>763113.53</v>
      </c>
      <c r="M8" s="8">
        <f t="shared" si="1"/>
        <v>606263.16890591988</v>
      </c>
    </row>
    <row r="9" spans="1:13" ht="15.6" x14ac:dyDescent="0.3">
      <c r="A9" s="4">
        <v>5</v>
      </c>
      <c r="B9" s="8">
        <v>0</v>
      </c>
      <c r="C9" s="8">
        <v>-41811</v>
      </c>
      <c r="D9" s="8">
        <v>184000</v>
      </c>
      <c r="E9" s="9">
        <f t="shared" si="0"/>
        <v>160090.58185404589</v>
      </c>
      <c r="G9" s="14"/>
      <c r="I9" s="5">
        <v>5</v>
      </c>
      <c r="J9" s="7">
        <v>0</v>
      </c>
      <c r="K9" s="6">
        <v>-211720.39</v>
      </c>
      <c r="L9" s="7">
        <v>763113.53</v>
      </c>
      <c r="M9" s="8">
        <f t="shared" si="1"/>
        <v>620813.48495966196</v>
      </c>
    </row>
    <row r="10" spans="1:13" ht="15.6" x14ac:dyDescent="0.3">
      <c r="A10" s="4">
        <v>6</v>
      </c>
      <c r="B10" s="8">
        <v>0</v>
      </c>
      <c r="C10" s="8">
        <v>-41811</v>
      </c>
      <c r="D10" s="8">
        <v>184000</v>
      </c>
      <c r="E10" s="9">
        <f t="shared" si="0"/>
        <v>163932.75581854294</v>
      </c>
      <c r="G10" s="14"/>
      <c r="I10" s="5">
        <v>6</v>
      </c>
      <c r="J10" s="7">
        <v>0</v>
      </c>
      <c r="K10" s="6">
        <v>-211720.39</v>
      </c>
      <c r="L10" s="7">
        <v>763113.53</v>
      </c>
      <c r="M10" s="8">
        <f t="shared" si="1"/>
        <v>635713.00859869376</v>
      </c>
    </row>
    <row r="11" spans="1:13" ht="15.6" x14ac:dyDescent="0.3">
      <c r="A11" s="4">
        <v>7</v>
      </c>
      <c r="B11" s="8">
        <v>0</v>
      </c>
      <c r="C11" s="8">
        <v>-41811</v>
      </c>
      <c r="D11" s="8">
        <v>184000</v>
      </c>
      <c r="E11" s="9">
        <f t="shared" si="0"/>
        <v>167867.141958188</v>
      </c>
      <c r="G11" s="14"/>
      <c r="I11" s="5">
        <v>7</v>
      </c>
      <c r="J11" s="7">
        <v>0</v>
      </c>
      <c r="K11" s="6">
        <v>-211720.39</v>
      </c>
      <c r="L11" s="7">
        <v>763113.53</v>
      </c>
      <c r="M11" s="8">
        <f t="shared" si="1"/>
        <v>650970.12080506259</v>
      </c>
    </row>
    <row r="12" spans="1:13" ht="15.6" x14ac:dyDescent="0.3">
      <c r="A12" s="4">
        <v>8</v>
      </c>
      <c r="B12" s="8">
        <v>0</v>
      </c>
      <c r="C12" s="8">
        <v>-41811</v>
      </c>
      <c r="D12" s="8">
        <v>184000</v>
      </c>
      <c r="E12" s="9">
        <f t="shared" ref="E12:E14" si="2">SUM(B12:D12)*(1+$B$19)^A12</f>
        <v>171895.95336518448</v>
      </c>
      <c r="G12" s="13"/>
      <c r="I12" s="5">
        <v>8</v>
      </c>
      <c r="J12" s="7">
        <v>0</v>
      </c>
      <c r="K12" s="6">
        <v>-211720.39</v>
      </c>
      <c r="L12" s="7">
        <v>763113.53</v>
      </c>
      <c r="M12" s="8">
        <f t="shared" si="1"/>
        <v>666593.40370438399</v>
      </c>
    </row>
    <row r="13" spans="1:13" ht="15.6" x14ac:dyDescent="0.3">
      <c r="A13" s="4">
        <v>9</v>
      </c>
      <c r="B13" s="8">
        <v>0</v>
      </c>
      <c r="C13" s="8">
        <v>-41811</v>
      </c>
      <c r="D13" s="8">
        <v>184000</v>
      </c>
      <c r="E13" s="9">
        <f t="shared" si="2"/>
        <v>176021.45624594891</v>
      </c>
      <c r="I13" s="5">
        <v>9</v>
      </c>
      <c r="J13" s="7">
        <v>0</v>
      </c>
      <c r="K13" s="6">
        <v>-211720.39</v>
      </c>
      <c r="L13" s="7">
        <v>763113.53</v>
      </c>
      <c r="M13" s="8">
        <f t="shared" si="1"/>
        <v>682591.64539328916</v>
      </c>
    </row>
    <row r="14" spans="1:13" ht="15.6" x14ac:dyDescent="0.3">
      <c r="A14" s="4">
        <v>10</v>
      </c>
      <c r="B14" s="8">
        <v>0</v>
      </c>
      <c r="C14" s="8">
        <v>-41811</v>
      </c>
      <c r="D14" s="8">
        <v>184000</v>
      </c>
      <c r="E14" s="9">
        <f t="shared" si="2"/>
        <v>180245.97119585169</v>
      </c>
      <c r="I14" s="5">
        <v>10</v>
      </c>
      <c r="J14" s="7">
        <v>0</v>
      </c>
      <c r="K14" s="6">
        <v>-211720.39</v>
      </c>
      <c r="L14" s="7">
        <v>763113.53</v>
      </c>
      <c r="M14" s="8">
        <f t="shared" si="1"/>
        <v>698973.84488272807</v>
      </c>
    </row>
    <row r="15" spans="1:13" x14ac:dyDescent="0.3">
      <c r="D15" s="10" t="s">
        <v>7</v>
      </c>
      <c r="E15" s="11">
        <f>NPV(B18,E5:E14)</f>
        <v>925518.83472099202</v>
      </c>
      <c r="L15" s="10" t="s">
        <v>7</v>
      </c>
      <c r="M15" s="11">
        <f>NPV(B18,M5:M14)</f>
        <v>3502083.5368674113</v>
      </c>
    </row>
    <row r="16" spans="1:13" x14ac:dyDescent="0.3">
      <c r="D16" s="10" t="s">
        <v>8</v>
      </c>
      <c r="E16" s="12">
        <f>-PMT(B18,COUNTA(A5:A14),E15)</f>
        <v>131773.06041471547</v>
      </c>
      <c r="L16" s="10" t="s">
        <v>8</v>
      </c>
      <c r="M16" s="12">
        <f>-PMT(B18,COUNTA(I5:I14),M15)</f>
        <v>498617.90832179895</v>
      </c>
    </row>
    <row r="17" spans="1:13" x14ac:dyDescent="0.3">
      <c r="D17" t="s">
        <v>9</v>
      </c>
      <c r="E17" s="13">
        <f>IRR(E5:E14)</f>
        <v>2.2032288603590868</v>
      </c>
      <c r="L17" t="s">
        <v>9</v>
      </c>
      <c r="M17" s="13">
        <f>IRR(M5:M14)</f>
        <v>1.637040619140449</v>
      </c>
    </row>
    <row r="18" spans="1:13" ht="28.8" x14ac:dyDescent="0.3">
      <c r="A18" s="18" t="s">
        <v>10</v>
      </c>
      <c r="B18" s="20">
        <v>7.0000000000000007E-2</v>
      </c>
    </row>
    <row r="19" spans="1:13" x14ac:dyDescent="0.3">
      <c r="A19" s="19" t="s">
        <v>11</v>
      </c>
      <c r="B19" s="17">
        <v>2.4E-2</v>
      </c>
    </row>
    <row r="22" spans="1:13" ht="45" customHeight="1" x14ac:dyDescent="0.3">
      <c r="A22" s="21" t="s">
        <v>12</v>
      </c>
      <c r="B22" s="21"/>
      <c r="C22" s="21"/>
      <c r="D22" s="21"/>
      <c r="E22" s="21"/>
    </row>
    <row r="24" spans="1:13" x14ac:dyDescent="0.3">
      <c r="A24" t="s">
        <v>3</v>
      </c>
      <c r="B24" t="s">
        <v>13</v>
      </c>
    </row>
    <row r="25" spans="1:13" x14ac:dyDescent="0.3">
      <c r="A25">
        <v>1</v>
      </c>
      <c r="B25" s="15">
        <f>M5-E5</f>
        <v>-289953.16735999996</v>
      </c>
    </row>
    <row r="26" spans="1:13" x14ac:dyDescent="0.3">
      <c r="A26">
        <v>2</v>
      </c>
      <c r="B26" s="15">
        <f t="shared" ref="B26:B34" si="3">M6-E6</f>
        <v>429081.64030463994</v>
      </c>
    </row>
    <row r="27" spans="1:13" ht="14.7" customHeight="1" x14ac:dyDescent="0.3">
      <c r="A27">
        <v>3</v>
      </c>
      <c r="B27" s="15">
        <f t="shared" si="3"/>
        <v>439379.59967195138</v>
      </c>
      <c r="F27" s="22" t="s">
        <v>21</v>
      </c>
      <c r="G27" s="23"/>
      <c r="H27" s="23"/>
      <c r="I27" s="23"/>
      <c r="J27" s="23"/>
      <c r="K27" s="23"/>
      <c r="L27" s="23"/>
      <c r="M27" s="23"/>
    </row>
    <row r="28" spans="1:13" ht="14.7" customHeight="1" x14ac:dyDescent="0.3">
      <c r="A28">
        <v>4</v>
      </c>
      <c r="B28" s="15">
        <f t="shared" si="3"/>
        <v>449924.71006407822</v>
      </c>
      <c r="F28" s="23"/>
      <c r="G28" s="23"/>
      <c r="H28" s="23"/>
      <c r="I28" s="23"/>
      <c r="J28" s="23"/>
      <c r="K28" s="23"/>
      <c r="L28" s="23"/>
      <c r="M28" s="23"/>
    </row>
    <row r="29" spans="1:13" ht="14.7" customHeight="1" x14ac:dyDescent="0.3">
      <c r="A29">
        <v>5</v>
      </c>
      <c r="B29" s="15">
        <f t="shared" si="3"/>
        <v>460722.9031056161</v>
      </c>
      <c r="F29" s="23"/>
      <c r="G29" s="23"/>
      <c r="H29" s="23"/>
      <c r="I29" s="23"/>
      <c r="J29" s="23"/>
      <c r="K29" s="23"/>
      <c r="L29" s="23"/>
      <c r="M29" s="23"/>
    </row>
    <row r="30" spans="1:13" ht="14.7" customHeight="1" x14ac:dyDescent="0.3">
      <c r="A30">
        <v>6</v>
      </c>
      <c r="B30" s="15">
        <f t="shared" si="3"/>
        <v>471780.25278015085</v>
      </c>
      <c r="F30" s="23"/>
      <c r="G30" s="23"/>
      <c r="H30" s="23"/>
      <c r="I30" s="23"/>
      <c r="J30" s="23"/>
      <c r="K30" s="23"/>
      <c r="L30" s="23"/>
      <c r="M30" s="23"/>
    </row>
    <row r="31" spans="1:13" ht="14.7" customHeight="1" x14ac:dyDescent="0.3">
      <c r="A31">
        <v>7</v>
      </c>
      <c r="B31" s="15">
        <f t="shared" si="3"/>
        <v>483102.97884687455</v>
      </c>
      <c r="F31" s="23"/>
      <c r="G31" s="23"/>
      <c r="H31" s="23"/>
      <c r="I31" s="23"/>
      <c r="J31" s="23"/>
      <c r="K31" s="23"/>
      <c r="L31" s="23"/>
      <c r="M31" s="23"/>
    </row>
    <row r="32" spans="1:13" ht="14.7" customHeight="1" x14ac:dyDescent="0.3">
      <c r="A32">
        <v>8</v>
      </c>
      <c r="B32" s="15">
        <f t="shared" si="3"/>
        <v>494697.45033919951</v>
      </c>
      <c r="C32" s="16"/>
      <c r="F32" s="23"/>
      <c r="G32" s="23"/>
      <c r="H32" s="23"/>
      <c r="I32" s="23"/>
      <c r="J32" s="23"/>
      <c r="K32" s="23"/>
      <c r="L32" s="23"/>
      <c r="M32" s="23"/>
    </row>
    <row r="33" spans="1:13" ht="14.7" customHeight="1" x14ac:dyDescent="0.3">
      <c r="A33">
        <v>9</v>
      </c>
      <c r="B33" s="15">
        <f t="shared" si="3"/>
        <v>506570.18914734025</v>
      </c>
      <c r="F33" s="23"/>
      <c r="G33" s="23"/>
      <c r="H33" s="23"/>
      <c r="I33" s="23"/>
      <c r="J33" s="23"/>
      <c r="K33" s="23"/>
      <c r="L33" s="23"/>
      <c r="M33" s="23"/>
    </row>
    <row r="34" spans="1:13" ht="14.7" customHeight="1" x14ac:dyDescent="0.3">
      <c r="A34">
        <v>10</v>
      </c>
      <c r="B34" s="15">
        <f t="shared" si="3"/>
        <v>518727.87368687638</v>
      </c>
      <c r="F34" s="23"/>
      <c r="G34" s="23"/>
      <c r="H34" s="23"/>
      <c r="I34" s="23"/>
      <c r="J34" s="23"/>
      <c r="K34" s="23"/>
      <c r="L34" s="23"/>
      <c r="M34" s="23"/>
    </row>
    <row r="35" spans="1:13" ht="14.7" customHeight="1" x14ac:dyDescent="0.3">
      <c r="A35" t="s">
        <v>14</v>
      </c>
      <c r="B35" s="16">
        <f>IRR(B25:B34)</f>
        <v>1.5033563750584484</v>
      </c>
      <c r="F35" s="23"/>
      <c r="G35" s="23"/>
      <c r="H35" s="23"/>
      <c r="I35" s="23"/>
      <c r="J35" s="23"/>
      <c r="K35" s="23"/>
      <c r="L35" s="23"/>
      <c r="M35" s="23"/>
    </row>
    <row r="36" spans="1:13" ht="14.7" customHeight="1" x14ac:dyDescent="0.3">
      <c r="F36" s="23"/>
      <c r="G36" s="23"/>
      <c r="H36" s="23"/>
      <c r="I36" s="23"/>
      <c r="J36" s="23"/>
      <c r="K36" s="23"/>
      <c r="L36" s="23"/>
      <c r="M36" s="23"/>
    </row>
    <row r="37" spans="1:13" ht="14.7" customHeight="1" x14ac:dyDescent="0.3">
      <c r="F37" s="23"/>
      <c r="G37" s="23"/>
      <c r="H37" s="23"/>
      <c r="I37" s="23"/>
      <c r="J37" s="23"/>
      <c r="K37" s="23"/>
      <c r="L37" s="23"/>
      <c r="M37" s="23"/>
    </row>
    <row r="38" spans="1:13" ht="14.7" customHeight="1" x14ac:dyDescent="0.3">
      <c r="F38" s="23"/>
      <c r="G38" s="23"/>
      <c r="H38" s="23"/>
      <c r="I38" s="23"/>
      <c r="J38" s="23"/>
      <c r="K38" s="23"/>
      <c r="L38" s="23"/>
      <c r="M38" s="23"/>
    </row>
    <row r="39" spans="1:13" ht="2.25" customHeight="1" x14ac:dyDescent="0.3">
      <c r="F39" s="23"/>
      <c r="G39" s="23"/>
      <c r="H39" s="23"/>
      <c r="I39" s="23"/>
      <c r="J39" s="23"/>
      <c r="K39" s="23"/>
      <c r="L39" s="23"/>
      <c r="M39" s="23"/>
    </row>
    <row r="40" spans="1:13" ht="98.25" customHeight="1" x14ac:dyDescent="0.3">
      <c r="F40" s="23"/>
      <c r="G40" s="23"/>
      <c r="H40" s="23"/>
      <c r="I40" s="23"/>
      <c r="J40" s="23"/>
      <c r="K40" s="23"/>
      <c r="L40" s="23"/>
      <c r="M40" s="23"/>
    </row>
    <row r="41" spans="1:13" ht="409.5" customHeight="1" x14ac:dyDescent="0.3">
      <c r="F41" s="23"/>
      <c r="G41" s="23"/>
      <c r="H41" s="23"/>
      <c r="I41" s="23"/>
      <c r="J41" s="23"/>
      <c r="K41" s="23"/>
      <c r="L41" s="23"/>
      <c r="M41" s="23"/>
    </row>
  </sheetData>
  <mergeCells count="2">
    <mergeCell ref="A22:E22"/>
    <mergeCell ref="F27:M4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FE64AE-A369-4EEB-8916-2CAECBDB78AF}">
  <ds:schemaRefs>
    <ds:schemaRef ds:uri="http://schemas.microsoft.com/office/2006/metadata/properties"/>
    <ds:schemaRef ds:uri="http://schemas.microsoft.com/office/infopath/2007/PartnerControls"/>
    <ds:schemaRef ds:uri="006c7cb9-3c36-40e5-a5d9-86e0029a058a"/>
    <ds:schemaRef ds:uri="a5db53bf-fe91-4cb9-a657-3e0c4c7ee7a0"/>
  </ds:schemaRefs>
</ds:datastoreItem>
</file>

<file path=customXml/itemProps2.xml><?xml version="1.0" encoding="utf-8"?>
<ds:datastoreItem xmlns:ds="http://schemas.openxmlformats.org/officeDocument/2006/customXml" ds:itemID="{98DC4FED-1847-4410-B188-B279FB52EC83}">
  <ds:schemaRefs>
    <ds:schemaRef ds:uri="http://schemas.microsoft.com/sharepoint/v3/contenttype/forms"/>
  </ds:schemaRefs>
</ds:datastoreItem>
</file>

<file path=customXml/itemProps3.xml><?xml version="1.0" encoding="utf-8"?>
<ds:datastoreItem xmlns:ds="http://schemas.openxmlformats.org/officeDocument/2006/customXml" ds:itemID="{4185EB5F-2BA9-4881-A2DF-9DA3A7212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PW AW 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Brodersen</cp:lastModifiedBy>
  <cp:revision/>
  <dcterms:created xsi:type="dcterms:W3CDTF">2025-09-23T15:37:39Z</dcterms:created>
  <dcterms:modified xsi:type="dcterms:W3CDTF">2026-03-16T14:25:12Z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