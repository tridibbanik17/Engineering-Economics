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OWNER\Downloads\3PX3_Excel_Files\"/>
    </mc:Choice>
  </mc:AlternateContent>
  <xr:revisionPtr revIDLastSave="0" documentId="13_ncr:1_{B82196B6-490D-49AB-87C5-855C65592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sitivity_Analysis" sheetId="1" r:id="rId1"/>
    <sheet name="Stochastic" sheetId="2" r:id="rId2"/>
    <sheet name="Monte_Carlo_Simulation" sheetId="3" r:id="rId3"/>
  </sheets>
  <definedNames>
    <definedName name="_xlchart.v1.0" hidden="1">Monte_Carlo_Simulation!$B$2</definedName>
    <definedName name="_xlchart.v1.1" hidden="1">Monte_Carlo_Simulation!$B$3:$B$501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 s="1"/>
  <c r="R5" i="2"/>
  <c r="R6" i="2"/>
  <c r="R7" i="2"/>
  <c r="R8" i="2"/>
  <c r="R9" i="2"/>
  <c r="R10" i="2"/>
  <c r="R11" i="2"/>
  <c r="R12" i="2"/>
  <c r="R4" i="2"/>
  <c r="V5" i="2"/>
  <c r="U5" i="2"/>
  <c r="U6" i="2"/>
  <c r="U7" i="2"/>
  <c r="U8" i="2"/>
  <c r="U9" i="2"/>
  <c r="U10" i="2"/>
  <c r="U11" i="2"/>
  <c r="U12" i="2"/>
  <c r="U4" i="2"/>
  <c r="V6" i="2"/>
  <c r="V7" i="2"/>
  <c r="V8" i="2"/>
  <c r="V9" i="2"/>
  <c r="V10" i="2"/>
  <c r="V11" i="2"/>
  <c r="V12" i="2"/>
  <c r="V4" i="2"/>
  <c r="T5" i="2" l="1"/>
  <c r="T6" i="2"/>
  <c r="T7" i="2"/>
  <c r="T8" i="2"/>
  <c r="T9" i="2"/>
  <c r="T10" i="2"/>
  <c r="T11" i="2"/>
  <c r="T12" i="2"/>
  <c r="T4" i="2"/>
  <c r="AB12" i="2" l="1"/>
  <c r="P12" i="2" s="1"/>
  <c r="AA12" i="2"/>
  <c r="N12" i="2" s="1"/>
  <c r="Z12" i="2"/>
  <c r="L12" i="2" s="1"/>
  <c r="Y12" i="2"/>
  <c r="S12" i="2"/>
  <c r="Q12" i="2"/>
  <c r="O12" i="2"/>
  <c r="M12" i="2"/>
  <c r="K12" i="2"/>
  <c r="J12" i="2"/>
  <c r="I12" i="2"/>
  <c r="H12" i="2"/>
  <c r="G12" i="2"/>
  <c r="AB11" i="2"/>
  <c r="P11" i="2" s="1"/>
  <c r="AA11" i="2"/>
  <c r="N11" i="2" s="1"/>
  <c r="Z11" i="2"/>
  <c r="L11" i="2" s="1"/>
  <c r="Y11" i="2"/>
  <c r="S11" i="2"/>
  <c r="Q11" i="2"/>
  <c r="O11" i="2"/>
  <c r="M11" i="2"/>
  <c r="K11" i="2"/>
  <c r="J11" i="2"/>
  <c r="I11" i="2"/>
  <c r="H11" i="2"/>
  <c r="G11" i="2"/>
  <c r="AB10" i="2"/>
  <c r="P10" i="2" s="1"/>
  <c r="AA10" i="2"/>
  <c r="N10" i="2" s="1"/>
  <c r="Z10" i="2"/>
  <c r="L10" i="2" s="1"/>
  <c r="Y10" i="2"/>
  <c r="S10" i="2"/>
  <c r="Q10" i="2"/>
  <c r="O10" i="2"/>
  <c r="M10" i="2"/>
  <c r="K10" i="2"/>
  <c r="J10" i="2"/>
  <c r="I10" i="2"/>
  <c r="H10" i="2"/>
  <c r="G10" i="2"/>
  <c r="AB9" i="2"/>
  <c r="P9" i="2" s="1"/>
  <c r="AA9" i="2"/>
  <c r="N9" i="2" s="1"/>
  <c r="Z9" i="2"/>
  <c r="L9" i="2" s="1"/>
  <c r="Y9" i="2"/>
  <c r="S9" i="2"/>
  <c r="Q9" i="2"/>
  <c r="O9" i="2"/>
  <c r="M9" i="2"/>
  <c r="K9" i="2"/>
  <c r="J9" i="2"/>
  <c r="I9" i="2"/>
  <c r="H9" i="2"/>
  <c r="G9" i="2"/>
  <c r="AB8" i="2"/>
  <c r="P8" i="2" s="1"/>
  <c r="AA8" i="2"/>
  <c r="N8" i="2" s="1"/>
  <c r="Z8" i="2"/>
  <c r="L8" i="2" s="1"/>
  <c r="Y8" i="2"/>
  <c r="S8" i="2"/>
  <c r="Q8" i="2"/>
  <c r="O8" i="2"/>
  <c r="M8" i="2"/>
  <c r="K8" i="2"/>
  <c r="J8" i="2"/>
  <c r="I8" i="2"/>
  <c r="H8" i="2"/>
  <c r="G8" i="2"/>
  <c r="AB7" i="2"/>
  <c r="P7" i="2" s="1"/>
  <c r="AA7" i="2"/>
  <c r="N7" i="2" s="1"/>
  <c r="Z7" i="2"/>
  <c r="L7" i="2" s="1"/>
  <c r="Y7" i="2"/>
  <c r="S7" i="2"/>
  <c r="Q7" i="2"/>
  <c r="O7" i="2"/>
  <c r="M7" i="2"/>
  <c r="K7" i="2"/>
  <c r="J7" i="2"/>
  <c r="I7" i="2"/>
  <c r="H7" i="2"/>
  <c r="G7" i="2"/>
  <c r="AB6" i="2"/>
  <c r="P6" i="2" s="1"/>
  <c r="AA6" i="2"/>
  <c r="N6" i="2" s="1"/>
  <c r="Z6" i="2"/>
  <c r="L6" i="2" s="1"/>
  <c r="Y6" i="2"/>
  <c r="S6" i="2"/>
  <c r="Q6" i="2"/>
  <c r="O6" i="2"/>
  <c r="M6" i="2"/>
  <c r="K6" i="2"/>
  <c r="J6" i="2"/>
  <c r="I6" i="2"/>
  <c r="H6" i="2"/>
  <c r="G6" i="2"/>
  <c r="AB5" i="2"/>
  <c r="P5" i="2" s="1"/>
  <c r="AA5" i="2"/>
  <c r="N5" i="2" s="1"/>
  <c r="Z5" i="2"/>
  <c r="L5" i="2" s="1"/>
  <c r="Y5" i="2"/>
  <c r="S5" i="2"/>
  <c r="Q5" i="2"/>
  <c r="O5" i="2"/>
  <c r="M5" i="2"/>
  <c r="K5" i="2"/>
  <c r="J5" i="2"/>
  <c r="I5" i="2"/>
  <c r="H5" i="2"/>
  <c r="G5" i="2"/>
  <c r="AB4" i="2"/>
  <c r="P4" i="2" s="1"/>
  <c r="AA4" i="2"/>
  <c r="N4" i="2" s="1"/>
  <c r="Z4" i="2"/>
  <c r="L4" i="2" s="1"/>
  <c r="Y4" i="2"/>
  <c r="S4" i="2"/>
  <c r="Q4" i="2"/>
  <c r="O4" i="2"/>
  <c r="M4" i="2"/>
  <c r="K4" i="2"/>
  <c r="J4" i="2"/>
  <c r="I4" i="2"/>
  <c r="H4" i="2"/>
  <c r="G4" i="2"/>
  <c r="AB3" i="2"/>
  <c r="P3" i="2" s="1"/>
  <c r="AA3" i="2"/>
  <c r="N3" i="2" s="1"/>
  <c r="Z3" i="2"/>
  <c r="L3" i="2" s="1"/>
  <c r="Y3" i="2"/>
  <c r="Q3" i="2"/>
  <c r="O3" i="2"/>
  <c r="M3" i="2"/>
  <c r="K3" i="2"/>
  <c r="J3" i="2"/>
  <c r="I3" i="2"/>
  <c r="H3" i="2"/>
  <c r="G3" i="2"/>
  <c r="E3" i="2"/>
  <c r="D3" i="2"/>
  <c r="C3" i="2"/>
  <c r="W5" i="2" l="1"/>
  <c r="W11" i="2"/>
  <c r="W9" i="2"/>
  <c r="W4" i="2"/>
  <c r="W6" i="2"/>
  <c r="W3" i="2"/>
  <c r="W10" i="2"/>
  <c r="W12" i="2"/>
  <c r="W7" i="2"/>
  <c r="W8" i="2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W13" i="2" l="1"/>
  <c r="W14" i="2" l="1"/>
  <c r="C2" i="3" s="1"/>
  <c r="B2" i="3"/>
  <c r="K3" i="3" l="1"/>
  <c r="K2" i="3"/>
  <c r="K4" i="3"/>
  <c r="L3" i="3"/>
  <c r="L2" i="3"/>
  <c r="L4" i="3"/>
  <c r="K6" i="3" l="1"/>
  <c r="K5" i="3"/>
  <c r="L5" i="3"/>
  <c r="L6" i="3"/>
  <c r="K33" i="1" l="1"/>
  <c r="K34" i="1"/>
  <c r="K35" i="1"/>
  <c r="K32" i="1"/>
  <c r="K28" i="1"/>
  <c r="K29" i="1"/>
  <c r="K30" i="1"/>
  <c r="K27" i="1"/>
  <c r="M33" i="1"/>
  <c r="M34" i="1"/>
  <c r="M35" i="1"/>
  <c r="M32" i="1"/>
  <c r="M28" i="1"/>
  <c r="M29" i="1"/>
  <c r="M30" i="1"/>
  <c r="M27" i="1"/>
  <c r="I33" i="1"/>
  <c r="I34" i="1"/>
  <c r="I35" i="1"/>
  <c r="I32" i="1"/>
  <c r="I28" i="1"/>
  <c r="I29" i="1"/>
  <c r="I30" i="1"/>
  <c r="I27" i="1"/>
  <c r="G34" i="1"/>
  <c r="G35" i="1"/>
  <c r="G33" i="1"/>
  <c r="G32" i="1"/>
  <c r="G30" i="1"/>
  <c r="G29" i="1"/>
  <c r="G28" i="1"/>
  <c r="G27" i="1"/>
</calcChain>
</file>

<file path=xl/sharedStrings.xml><?xml version="1.0" encoding="utf-8"?>
<sst xmlns="http://schemas.openxmlformats.org/spreadsheetml/2006/main" count="167" uniqueCount="123">
  <si>
    <t>Year</t>
  </si>
  <si>
    <t>CapEx (Real)</t>
  </si>
  <si>
    <t>OpEx (Real)</t>
  </si>
  <si>
    <t>Monetized benefits (Real)</t>
  </si>
  <si>
    <t>Net cash flow (Nominal)</t>
  </si>
  <si>
    <t>PW</t>
  </si>
  <si>
    <t>AW</t>
  </si>
  <si>
    <t>Design Parameter</t>
  </si>
  <si>
    <t>Value</t>
  </si>
  <si>
    <t>Unit</t>
  </si>
  <si>
    <t>Associated Risk</t>
  </si>
  <si>
    <t>Number of Security Cameras</t>
  </si>
  <si>
    <t>Cameras</t>
  </si>
  <si>
    <t>Hardware Failure</t>
  </si>
  <si>
    <t>Expected Downtime</t>
  </si>
  <si>
    <t>hrs/yr</t>
  </si>
  <si>
    <t>Uncertainty in Certification of System</t>
  </si>
  <si>
    <t>Server Processing Capacity</t>
  </si>
  <si>
    <t>kWh/TB</t>
  </si>
  <si>
    <t>Operating Cost</t>
  </si>
  <si>
    <t>Continous Operation Costs</t>
  </si>
  <si>
    <t>kWh/month</t>
  </si>
  <si>
    <t>Spider Plot</t>
  </si>
  <si>
    <t>Inflation</t>
  </si>
  <si>
    <t>Nominal Discount Rate</t>
  </si>
  <si>
    <t>Base case</t>
  </si>
  <si>
    <t>Conversion factors</t>
  </si>
  <si>
    <t>Electricity Cost</t>
  </si>
  <si>
    <t>$/kWh</t>
  </si>
  <si>
    <t>Camera cost</t>
  </si>
  <si>
    <t>$/camera</t>
  </si>
  <si>
    <t>Server Cost</t>
  </si>
  <si>
    <t>TB/day</t>
  </si>
  <si>
    <t>Downtime</t>
  </si>
  <si>
    <t>$/hr</t>
  </si>
  <si>
    <t>CapEx</t>
  </si>
  <si>
    <t>OpEx</t>
  </si>
  <si>
    <t>Benefits</t>
  </si>
  <si>
    <t>Stochastic terms (press F9 to refresh):</t>
  </si>
  <si>
    <t>Camera, Sensor, Security-Related Device Maintenance</t>
  </si>
  <si>
    <t>Additional Operating Cost from Cloud and Energy Use</t>
  </si>
  <si>
    <t>Additional Cost for Certification of Cybersecurity for Whole System</t>
  </si>
  <si>
    <t>Additional Cost for Updating Cybersecurity</t>
  </si>
  <si>
    <t>Additional Cost for Hardware Failure/Need for Immediate Maintenance</t>
  </si>
  <si>
    <t>N+1 redundacy for hardware</t>
  </si>
  <si>
    <t>Eliminated Patrol Salary</t>
  </si>
  <si>
    <t>Expected Value of Avoided Downtime</t>
  </si>
  <si>
    <t>Reference PW</t>
  </si>
  <si>
    <t>Reference AW</t>
  </si>
  <si>
    <t>Design Parameters</t>
  </si>
  <si>
    <t>Converstion Factors</t>
  </si>
  <si>
    <t>Number of Cameras</t>
  </si>
  <si>
    <t>#</t>
  </si>
  <si>
    <t>$/hour</t>
  </si>
  <si>
    <t>kWh per TB</t>
  </si>
  <si>
    <t>$ per kWh</t>
  </si>
  <si>
    <t>$</t>
  </si>
  <si>
    <t>$/year</t>
  </si>
  <si>
    <t>Risks</t>
  </si>
  <si>
    <t>Likeliness (%/year)</t>
  </si>
  <si>
    <t>Impact</t>
  </si>
  <si>
    <t>Implement?</t>
  </si>
  <si>
    <t>Risk Mitigation</t>
  </si>
  <si>
    <t>Cost</t>
  </si>
  <si>
    <t>Benefit</t>
  </si>
  <si>
    <t>Note: This assumes that certification of cybersecurity system takes place annually.</t>
  </si>
  <si>
    <t>Power Electronics &amp; Storage</t>
  </si>
  <si>
    <t>High-Voltage Testing Hours</t>
  </si>
  <si>
    <t>Server Processing Capacity (Thermal Dissipation)</t>
  </si>
  <si>
    <t>$/module</t>
  </si>
  <si>
    <t>Power Module Unit Cost (Cameras + Biometric Scanner)</t>
  </si>
  <si>
    <t>Hardware Maintenance</t>
  </si>
  <si>
    <t>Pessimistic Elec Engineer Salary</t>
  </si>
  <si>
    <t>Most Likely Elec Engineer Salary</t>
  </si>
  <si>
    <t>Optimistic Elec Engineer Salary</t>
  </si>
  <si>
    <t>Safety Certification Reduction</t>
  </si>
  <si>
    <t>%</t>
  </si>
  <si>
    <t>Critical Fault Probability</t>
  </si>
  <si>
    <t>#/yr</t>
  </si>
  <si>
    <t>Efficiency Savings Pool</t>
  </si>
  <si>
    <t>System Uptime Productivity</t>
  </si>
  <si>
    <t>Run</t>
  </si>
  <si>
    <t>Mean</t>
  </si>
  <si>
    <t>Stdev</t>
  </si>
  <si>
    <t>Probability Value&gt;0:</t>
  </si>
  <si>
    <t>Confidence Interval Upper</t>
  </si>
  <si>
    <t>Confidence Interval Lower</t>
  </si>
  <si>
    <t>Power Modules</t>
  </si>
  <si>
    <t>Wiring</t>
  </si>
  <si>
    <t>Salary of Systems Engineer</t>
  </si>
  <si>
    <t>Energy Costs</t>
  </si>
  <si>
    <t>Power Consumption Variability Management</t>
  </si>
  <si>
    <t>Operating Cost Variability</t>
  </si>
  <si>
    <t>Electrical Safety Certification &amp; Compliance</t>
  </si>
  <si>
    <t>High-Voltage Testing &amp; Validation</t>
  </si>
  <si>
    <t>Firmware &amp; Embedded Systems Maintenance</t>
  </si>
  <si>
    <t>Preventive Maintenance &amp; Diagnostics</t>
  </si>
  <si>
    <t>Reduced Equipment Failure Costs</t>
  </si>
  <si>
    <t>Improved System Reliability</t>
  </si>
  <si>
    <t>Increased System Uptime</t>
  </si>
  <si>
    <t>Field Technician/Security Rate</t>
  </si>
  <si>
    <t>High-Voltage Testing Rates</t>
  </si>
  <si>
    <t>Power Module Failure / Need for Immediate Maintenance</t>
  </si>
  <si>
    <t>Improved thermal design, heat sinks, and derating of components</t>
  </si>
  <si>
    <t>Reduces overheating and extends hardware lifespan</t>
  </si>
  <si>
    <t>Operating Cost Variability (energy + ongoing operations)</t>
  </si>
  <si>
    <t>Power optimization (efficient regulators, load scheduling)</t>
  </si>
  <si>
    <t>Reduces operational energy costs tied to 100 kWh/month usage</t>
  </si>
  <si>
    <t>Uncertainty in Time for Certification of Whole System (High Voltage Testing)</t>
  </si>
  <si>
    <t>Early compliance checks (CSA/UL), design reviews</t>
  </si>
  <si>
    <t>Minimizes risk of late-stage redesigns</t>
  </si>
  <si>
    <t>Server Power/Thermal Load Mismatch</t>
  </si>
  <si>
    <t>Load balancing and improved cooling for 72 kWh/TB processing</t>
  </si>
  <si>
    <t>Prevents performance throttling and failures</t>
  </si>
  <si>
    <t>1 day </t>
  </si>
  <si>
    <t>20% </t>
  </si>
  <si>
    <t>2 days </t>
  </si>
  <si>
    <t>30% </t>
  </si>
  <si>
    <t>3 days </t>
  </si>
  <si>
    <t>4 days </t>
  </si>
  <si>
    <t>15% </t>
  </si>
  <si>
    <t>5 days </t>
  </si>
  <si>
    <t>5%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</si>
</sst>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#,##0_ ;[Red]\-#,##0\ "/>
    <numFmt numFmtId="167" formatCode="&quot;$&quot;#,##0.00"/>
  </numFmts>
  <fonts count="1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Aptos Narrow"/>
      <family val="2"/>
    </font>
    <font>
      <i/>
      <sz val="8"/>
      <color rgb="FF000000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 Narrow"/>
      <family val="2"/>
    </font>
    <font>
      <sz val="11"/>
      <name val="Calibri"/>
      <family val="2"/>
    </font>
    <font>
      <b/>
      <sz val="11"/>
      <color theme="1"/>
      <name val="Arial Narrow"/>
      <family val="2"/>
    </font>
    <font>
      <sz val="11"/>
      <color rgb="FF202122"/>
      <name val="Lucida Sans Unicode"/>
      <family val="2"/>
    </font>
  </fonts>
  <fills count="7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E8E8E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5" fontId="8" fillId="0" borderId="0" applyFont="0" applyFill="0" applyBorder="0" applyAlignment="0" applyProtection="0"/>
  </cellStyleXfs>
  <cellXfs count="81">
    <xf numFmtId="0" fontId="0" fillId="0" borderId="0" xfId="0"/>
    <xf numFmtId="164" fontId="2" fillId="2" borderId="1" xfId="0" applyNumberFormat="1" applyFont="1" applyFill="1" applyBorder="1"/>
    <xf numFmtId="164" fontId="2" fillId="2" borderId="3" xfId="0" applyNumberFormat="1" applyFont="1" applyFill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9" fontId="4" fillId="0" borderId="1" xfId="0" applyNumberFormat="1" applyFont="1" applyBorder="1"/>
    <xf numFmtId="0" fontId="5" fillId="3" borderId="1" xfId="0" applyFont="1" applyFill="1" applyBorder="1" applyAlignment="1">
      <alignment horizontal="left" vertical="center" wrapText="1"/>
    </xf>
    <xf numFmtId="0" fontId="0" fillId="0" borderId="5" xfId="0" applyBorder="1"/>
    <xf numFmtId="0" fontId="6" fillId="0" borderId="1" xfId="0" applyFont="1" applyBorder="1"/>
    <xf numFmtId="0" fontId="0" fillId="0" borderId="5" xfId="0" applyBorder="1" applyAlignment="1">
      <alignment horizontal="left" vertical="center"/>
    </xf>
    <xf numFmtId="10" fontId="0" fillId="0" borderId="1" xfId="0" applyNumberFormat="1" applyBorder="1"/>
    <xf numFmtId="9" fontId="0" fillId="0" borderId="1" xfId="0" applyNumberFormat="1" applyBorder="1"/>
    <xf numFmtId="166" fontId="0" fillId="0" borderId="0" xfId="0" applyNumberFormat="1"/>
    <xf numFmtId="0" fontId="7" fillId="0" borderId="8" xfId="0" applyFont="1" applyBorder="1"/>
    <xf numFmtId="0" fontId="7" fillId="0" borderId="3" xfId="0" applyFont="1" applyBorder="1"/>
    <xf numFmtId="0" fontId="7" fillId="0" borderId="4" xfId="0" applyFont="1" applyBorder="1"/>
    <xf numFmtId="38" fontId="0" fillId="0" borderId="1" xfId="0" applyNumberFormat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5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167" fontId="9" fillId="4" borderId="1" xfId="0" applyNumberFormat="1" applyFont="1" applyFill="1" applyBorder="1"/>
    <xf numFmtId="167" fontId="0" fillId="4" borderId="1" xfId="1" applyNumberFormat="1" applyFont="1" applyFill="1" applyBorder="1"/>
    <xf numFmtId="167" fontId="9" fillId="5" borderId="1" xfId="0" applyNumberFormat="1" applyFont="1" applyFill="1" applyBorder="1"/>
    <xf numFmtId="167" fontId="0" fillId="5" borderId="1" xfId="1" applyNumberFormat="1" applyFont="1" applyFill="1" applyBorder="1"/>
    <xf numFmtId="167" fontId="0" fillId="6" borderId="1" xfId="1" applyNumberFormat="1" applyFont="1" applyFill="1" applyBorder="1"/>
    <xf numFmtId="167" fontId="0" fillId="6" borderId="5" xfId="1" applyNumberFormat="1" applyFont="1" applyFill="1" applyBorder="1"/>
    <xf numFmtId="167" fontId="9" fillId="0" borderId="1" xfId="0" applyNumberFormat="1" applyFont="1" applyBorder="1"/>
    <xf numFmtId="167" fontId="0" fillId="0" borderId="1" xfId="0" applyNumberFormat="1" applyBorder="1"/>
    <xf numFmtId="167" fontId="0" fillId="6" borderId="1" xfId="0" applyNumberFormat="1" applyFill="1" applyBorder="1"/>
    <xf numFmtId="167" fontId="0" fillId="6" borderId="5" xfId="0" applyNumberFormat="1" applyFill="1" applyBorder="1"/>
    <xf numFmtId="167" fontId="10" fillId="0" borderId="1" xfId="0" applyNumberFormat="1" applyFont="1" applyBorder="1"/>
    <xf numFmtId="165" fontId="0" fillId="6" borderId="8" xfId="1" applyFont="1" applyFill="1" applyBorder="1"/>
    <xf numFmtId="8" fontId="0" fillId="5" borderId="1" xfId="0" applyNumberFormat="1" applyFill="1" applyBorder="1"/>
    <xf numFmtId="165" fontId="0" fillId="6" borderId="5" xfId="1" applyFont="1" applyFill="1" applyBorder="1"/>
    <xf numFmtId="8" fontId="0" fillId="5" borderId="1" xfId="1" applyNumberFormat="1" applyFont="1" applyFill="1" applyBorder="1" applyAlignment="1">
      <alignment horizontal="right" vertical="center" wrapText="1"/>
    </xf>
    <xf numFmtId="165" fontId="0" fillId="0" borderId="0" xfId="1" applyFont="1"/>
    <xf numFmtId="167" fontId="0" fillId="0" borderId="0" xfId="1" applyNumberFormat="1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7" fontId="0" fillId="0" borderId="1" xfId="1" applyNumberFormat="1" applyFont="1" applyBorder="1" applyAlignment="1">
      <alignment horizontal="center" wrapText="1"/>
    </xf>
    <xf numFmtId="9" fontId="0" fillId="0" borderId="1" xfId="0" applyNumberFormat="1" applyBorder="1" applyAlignment="1">
      <alignment horizontal="center" wrapText="1"/>
    </xf>
    <xf numFmtId="0" fontId="11" fillId="0" borderId="9" xfId="0" applyFont="1" applyBorder="1" applyAlignment="1">
      <alignment horizontal="left" vertical="top" wrapText="1"/>
    </xf>
    <xf numFmtId="0" fontId="12" fillId="0" borderId="0" xfId="0" applyFont="1"/>
    <xf numFmtId="167" fontId="0" fillId="0" borderId="0" xfId="0" applyNumberFormat="1"/>
    <xf numFmtId="8" fontId="12" fillId="0" borderId="0" xfId="0" applyNumberFormat="1" applyFont="1"/>
    <xf numFmtId="44" fontId="12" fillId="0" borderId="0" xfId="0" applyNumberFormat="1" applyFont="1"/>
    <xf numFmtId="167" fontId="12" fillId="0" borderId="0" xfId="1" applyNumberFormat="1" applyFont="1" applyFill="1" applyBorder="1"/>
    <xf numFmtId="10" fontId="10" fillId="0" borderId="0" xfId="0" applyNumberFormat="1" applyFont="1"/>
    <xf numFmtId="10" fontId="12" fillId="0" borderId="0" xfId="0" applyNumberFormat="1" applyFont="1"/>
    <xf numFmtId="0" fontId="11" fillId="5" borderId="9" xfId="0" applyFont="1" applyFill="1" applyBorder="1" applyAlignment="1">
      <alignment horizontal="left" wrapText="1"/>
    </xf>
    <xf numFmtId="0" fontId="2" fillId="0" borderId="1" xfId="0" applyFont="1" applyBorder="1"/>
    <xf numFmtId="0" fontId="11" fillId="0" borderId="0" xfId="0" applyFont="1" applyAlignment="1">
      <alignment horizontal="left" vertical="top" wrapText="1"/>
    </xf>
    <xf numFmtId="9" fontId="11" fillId="0" borderId="0" xfId="0" applyNumberFormat="1" applyFont="1" applyAlignment="1">
      <alignment horizontal="center" vertical="top" wrapText="1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9" fontId="11" fillId="0" borderId="1" xfId="0" applyNumberFormat="1" applyFont="1" applyBorder="1" applyAlignment="1">
      <alignment horizontal="left" vertical="top"/>
    </xf>
    <xf numFmtId="6" fontId="0" fillId="0" borderId="1" xfId="0" applyNumberFormat="1" applyBorder="1" applyAlignment="1">
      <alignment horizontal="left" vertical="top"/>
    </xf>
    <xf numFmtId="6" fontId="0" fillId="0" borderId="1" xfId="1" applyNumberFormat="1" applyFont="1" applyBorder="1" applyAlignment="1">
      <alignment horizontal="left" vertical="top"/>
    </xf>
    <xf numFmtId="6" fontId="0" fillId="0" borderId="1" xfId="0" applyNumberFormat="1" applyBorder="1" applyAlignment="1">
      <alignment horizontal="center" wrapText="1"/>
    </xf>
    <xf numFmtId="167" fontId="0" fillId="0" borderId="1" xfId="1" applyNumberFormat="1" applyFont="1" applyBorder="1" applyAlignment="1">
      <alignment horizontal="left" vertical="top"/>
    </xf>
    <xf numFmtId="9" fontId="0" fillId="0" borderId="1" xfId="0" applyNumberFormat="1" applyBorder="1" applyAlignment="1">
      <alignment horizontal="left" vertical="top" wrapText="1"/>
    </xf>
    <xf numFmtId="6" fontId="0" fillId="0" borderId="1" xfId="0" applyNumberFormat="1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4" fillId="4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0" fillId="0" borderId="10" xfId="0" applyBorder="1"/>
    <xf numFmtId="0" fontId="4" fillId="0" borderId="0" xfId="0" applyFont="1" applyAlignment="1">
      <alignment horizontal="center"/>
    </xf>
    <xf numFmtId="0" fontId="14" fillId="0" borderId="11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Spider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Number of Security Cameras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Sensitivity_Analysis!$E$27:$E$35</c:f>
              <c:numCache>
                <c:formatCode>0%</c:formatCode>
                <c:ptCount val="9"/>
                <c:pt idx="0">
                  <c:v>-0.2</c:v>
                </c:pt>
                <c:pt idx="1">
                  <c:v>-0.15</c:v>
                </c:pt>
                <c:pt idx="2">
                  <c:v>-0.1</c:v>
                </c:pt>
                <c:pt idx="3">
                  <c:v>-0.05</c:v>
                </c:pt>
                <c:pt idx="4">
                  <c:v>0</c:v>
                </c:pt>
                <c:pt idx="5">
                  <c:v>0.05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</c:numCache>
            </c:numRef>
          </c:cat>
          <c:val>
            <c:numRef>
              <c:f>Sensitivity_Analysis!$G$27:$G$35</c:f>
              <c:numCache>
                <c:formatCode>"$"#,##0.00</c:formatCode>
                <c:ptCount val="9"/>
                <c:pt idx="0">
                  <c:v>396779.19</c:v>
                </c:pt>
                <c:pt idx="1">
                  <c:v>377579.19</c:v>
                </c:pt>
                <c:pt idx="2">
                  <c:v>358379.19</c:v>
                </c:pt>
                <c:pt idx="3">
                  <c:v>339179.19</c:v>
                </c:pt>
                <c:pt idx="4">
                  <c:v>319979.19</c:v>
                </c:pt>
                <c:pt idx="5">
                  <c:v>300779.19</c:v>
                </c:pt>
                <c:pt idx="6">
                  <c:v>281579.19</c:v>
                </c:pt>
                <c:pt idx="7">
                  <c:v>262379.19</c:v>
                </c:pt>
                <c:pt idx="8">
                  <c:v>243179.19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8FE-411F-86B4-03A326BFF2F6}"/>
            </c:ext>
          </c:extLst>
        </c:ser>
        <c:ser>
          <c:idx val="1"/>
          <c:order val="1"/>
          <c:tx>
            <c:v>Expected Downtime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Sensitivity_Analysis!$I$27:$I$35</c:f>
              <c:numCache>
                <c:formatCode>"$"#,##0.00</c:formatCode>
                <c:ptCount val="9"/>
                <c:pt idx="0">
                  <c:v>1179979.1900000002</c:v>
                </c:pt>
                <c:pt idx="1">
                  <c:v>964979.19000000018</c:v>
                </c:pt>
                <c:pt idx="2">
                  <c:v>749979.18999999971</c:v>
                </c:pt>
                <c:pt idx="3">
                  <c:v>534979.18999999983</c:v>
                </c:pt>
                <c:pt idx="4">
                  <c:v>319979.19</c:v>
                </c:pt>
                <c:pt idx="5">
                  <c:v>104979.19000000015</c:v>
                </c:pt>
                <c:pt idx="6">
                  <c:v>-110020.80999999971</c:v>
                </c:pt>
                <c:pt idx="7">
                  <c:v>-325020.81000000023</c:v>
                </c:pt>
                <c:pt idx="8">
                  <c:v>-540020.81000000006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FE-411F-86B4-03A326BFF2F6}"/>
            </c:ext>
          </c:extLst>
        </c:ser>
        <c:ser>
          <c:idx val="2"/>
          <c:order val="2"/>
          <c:tx>
            <c:v>Server Processing Capacity+Sensitivity_Analysis!$K$27:$K$35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Sensitivity_Analysis!$K$27:$K$35</c:f>
              <c:numCache>
                <c:formatCode>"$"#,##0.00</c:formatCode>
                <c:ptCount val="9"/>
                <c:pt idx="0">
                  <c:v>370436.79</c:v>
                </c:pt>
                <c:pt idx="1">
                  <c:v>357822.39</c:v>
                </c:pt>
                <c:pt idx="2">
                  <c:v>345207.99</c:v>
                </c:pt>
                <c:pt idx="3">
                  <c:v>332593.58999999997</c:v>
                </c:pt>
                <c:pt idx="4">
                  <c:v>319979.19</c:v>
                </c:pt>
                <c:pt idx="5">
                  <c:v>307364.79000000004</c:v>
                </c:pt>
                <c:pt idx="6">
                  <c:v>294750.39</c:v>
                </c:pt>
                <c:pt idx="7">
                  <c:v>282135.99</c:v>
                </c:pt>
                <c:pt idx="8">
                  <c:v>269521.58999999997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FE-411F-86B4-03A326BFF2F6}"/>
            </c:ext>
          </c:extLst>
        </c:ser>
        <c:ser>
          <c:idx val="3"/>
          <c:order val="3"/>
          <c:tx>
            <c:v>Continous Operation Cost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Sensitivity_Analysis!$M$27:$M$35</c:f>
              <c:numCache>
                <c:formatCode>"$"#,##0.00</c:formatCode>
                <c:ptCount val="9"/>
                <c:pt idx="0">
                  <c:v>320007.99</c:v>
                </c:pt>
                <c:pt idx="1">
                  <c:v>320000.78999999998</c:v>
                </c:pt>
                <c:pt idx="2">
                  <c:v>319993.59000000003</c:v>
                </c:pt>
                <c:pt idx="3">
                  <c:v>319986.39</c:v>
                </c:pt>
                <c:pt idx="4">
                  <c:v>319979.19</c:v>
                </c:pt>
                <c:pt idx="5">
                  <c:v>319971.99</c:v>
                </c:pt>
                <c:pt idx="6">
                  <c:v>319964.78999999998</c:v>
                </c:pt>
                <c:pt idx="7">
                  <c:v>319957.59000000003</c:v>
                </c:pt>
                <c:pt idx="8">
                  <c:v>319950.39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8FE-411F-86B4-03A326BFF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615935"/>
        <c:axId val="1138616415"/>
      </c:lineChart>
      <c:catAx>
        <c:axId val="1138615935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16415"/>
        <c:crosses val="autoZero"/>
        <c:auto val="1"/>
        <c:lblAlgn val="ctr"/>
        <c:lblOffset val="100"/>
        <c:noMultiLvlLbl val="0"/>
      </c:catAx>
      <c:valAx>
        <c:axId val="113861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15935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65E01199-00A5-4775-88B1-2D942C5FDBB6}">
          <cx:tx>
            <cx:txData>
              <cx:f>_xlchart.v1.0</cx:f>
              <cx:v>$3,026,284.49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122005</xdr:colOff>
      <xdr:row>22</xdr:row>
      <xdr:rowOff>83906</xdr:rowOff>
    </xdr:from>
    <xdr:to>
      <xdr:col>21</xdr:col>
      <xdr:colOff>423809</xdr:colOff>
      <xdr:row>36</xdr:row>
      <xdr:rowOff>130139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5EAE9-2439-FEE0-EB68-884D43D51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11</xdr:col>
      <xdr:colOff>693420</xdr:colOff>
      <xdr:row>30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2">
              <a:extLst>
                <a:ext uri="{FF2B5EF4-FFF2-40B4-BE49-F238E27FC236}">
                  <a16:creationId xmlns:a16="http://schemas.microsoft.com/office/drawing/2014/main" id="{DBC68125-C159-4A66-BF33-459B0C0B9E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67100" y="2194560"/>
              <a:ext cx="6797040" cy="3459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topLeftCell="D1" zoomScale="134" workbookViewId="0">
      <selection activeCell="J3" sqref="J3"/>
    </sheetView>
  </sheetViews>
  <sheetFormatPr defaultRowHeight="14.4"/>
  <cols>
    <col min="1" max="1" width="28.44140625" customWidth="1"/>
    <col min="2" max="2" width="17.21875" customWidth="1"/>
    <col min="3" max="3" width="13.77734375" customWidth="1"/>
    <col min="4" max="4" width="25.21875" customWidth="1"/>
    <col min="5" max="5" width="20.44140625" customWidth="1"/>
    <col min="7" max="7" width="16.44140625" customWidth="1"/>
    <col min="9" max="9" width="23.44140625" customWidth="1"/>
    <col min="11" max="11" width="17.5546875" customWidth="1"/>
    <col min="13" max="13" width="20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>
      <c r="A2">
        <v>1</v>
      </c>
      <c r="B2" s="13">
        <v>-55000</v>
      </c>
      <c r="C2" s="13">
        <v>-30000</v>
      </c>
      <c r="D2" s="13">
        <v>0</v>
      </c>
      <c r="E2" s="13">
        <v>-87040</v>
      </c>
      <c r="J2">
        <f ca="1">RAND()</f>
        <v>0.80839649940373626</v>
      </c>
    </row>
    <row r="3" spans="1:11">
      <c r="A3">
        <v>2</v>
      </c>
      <c r="B3" s="13">
        <v>0</v>
      </c>
      <c r="C3" s="13">
        <v>-30000</v>
      </c>
      <c r="D3" s="13">
        <v>87672</v>
      </c>
      <c r="E3" s="13">
        <v>60473</v>
      </c>
      <c r="J3">
        <f ca="1">IF(J2&lt;0.2, 1, IF(J2&lt;0.5, 2, IF(J2&lt;0.8, 3, IF(J2&lt;0.95, 4, 5))))</f>
        <v>4</v>
      </c>
    </row>
    <row r="4" spans="1:11">
      <c r="A4">
        <v>3</v>
      </c>
      <c r="B4" s="13">
        <v>0</v>
      </c>
      <c r="C4" s="13">
        <v>-30000</v>
      </c>
      <c r="D4" s="13">
        <v>87672</v>
      </c>
      <c r="E4" s="13">
        <v>61925</v>
      </c>
    </row>
    <row r="5" spans="1:11">
      <c r="A5">
        <v>4</v>
      </c>
      <c r="B5" s="13">
        <v>0</v>
      </c>
      <c r="C5" s="13">
        <v>-30000</v>
      </c>
      <c r="D5" s="13">
        <v>87672</v>
      </c>
      <c r="E5" s="13">
        <v>63411</v>
      </c>
      <c r="J5" s="79" t="s">
        <v>114</v>
      </c>
      <c r="K5" s="79" t="s">
        <v>115</v>
      </c>
    </row>
    <row r="6" spans="1:11">
      <c r="A6">
        <v>5</v>
      </c>
      <c r="B6" s="13">
        <v>0</v>
      </c>
      <c r="C6" s="13">
        <v>-30000</v>
      </c>
      <c r="D6" s="13">
        <v>87672</v>
      </c>
      <c r="E6" s="13">
        <v>64933</v>
      </c>
      <c r="J6" s="80"/>
      <c r="K6" s="80"/>
    </row>
    <row r="7" spans="1:11">
      <c r="A7">
        <v>6</v>
      </c>
      <c r="B7" s="13">
        <v>0</v>
      </c>
      <c r="C7" s="13">
        <v>-30000</v>
      </c>
      <c r="D7" s="13">
        <v>87672</v>
      </c>
      <c r="E7" s="13">
        <v>66491</v>
      </c>
      <c r="J7" s="79" t="s">
        <v>116</v>
      </c>
      <c r="K7" s="79" t="s">
        <v>117</v>
      </c>
    </row>
    <row r="8" spans="1:11">
      <c r="A8">
        <v>7</v>
      </c>
      <c r="B8" s="13">
        <v>0</v>
      </c>
      <c r="C8" s="13">
        <v>-30000</v>
      </c>
      <c r="D8" s="13">
        <v>87672</v>
      </c>
      <c r="E8" s="13">
        <v>68087</v>
      </c>
      <c r="J8" s="80"/>
      <c r="K8" s="80"/>
    </row>
    <row r="9" spans="1:11">
      <c r="A9">
        <v>8</v>
      </c>
      <c r="B9" s="13">
        <v>0</v>
      </c>
      <c r="C9" s="13">
        <v>-30000</v>
      </c>
      <c r="D9" s="13">
        <v>87672</v>
      </c>
      <c r="E9" s="13">
        <v>69721</v>
      </c>
      <c r="J9" s="79" t="s">
        <v>118</v>
      </c>
      <c r="K9" s="79" t="s">
        <v>117</v>
      </c>
    </row>
    <row r="10" spans="1:11">
      <c r="A10">
        <v>9</v>
      </c>
      <c r="B10" s="13">
        <v>0</v>
      </c>
      <c r="C10" s="13">
        <v>-30000</v>
      </c>
      <c r="D10" s="13">
        <v>87672</v>
      </c>
      <c r="E10" s="13">
        <v>71394</v>
      </c>
      <c r="J10" s="80"/>
      <c r="K10" s="80"/>
    </row>
    <row r="11" spans="1:11">
      <c r="A11">
        <v>10</v>
      </c>
      <c r="B11" s="13">
        <v>0</v>
      </c>
      <c r="C11" s="13">
        <v>-30000</v>
      </c>
      <c r="D11" s="13">
        <v>87672</v>
      </c>
      <c r="E11" s="13">
        <v>73108</v>
      </c>
      <c r="J11" s="79" t="s">
        <v>119</v>
      </c>
      <c r="K11" s="79" t="s">
        <v>120</v>
      </c>
    </row>
    <row r="12" spans="1:11">
      <c r="A12">
        <v>11</v>
      </c>
      <c r="B12" s="13">
        <v>0</v>
      </c>
      <c r="C12" s="13">
        <v>-30000</v>
      </c>
      <c r="D12" s="13">
        <v>87672</v>
      </c>
      <c r="E12" s="13">
        <v>74863</v>
      </c>
      <c r="J12" s="80"/>
      <c r="K12" s="80"/>
    </row>
    <row r="13" spans="1:11">
      <c r="A13">
        <v>12</v>
      </c>
      <c r="B13" s="13">
        <v>0</v>
      </c>
      <c r="C13" s="13">
        <v>-30000</v>
      </c>
      <c r="D13" s="13">
        <v>87672</v>
      </c>
      <c r="E13" s="13">
        <v>76659</v>
      </c>
      <c r="J13" s="79" t="s">
        <v>121</v>
      </c>
      <c r="K13" s="79" t="s">
        <v>122</v>
      </c>
    </row>
    <row r="14" spans="1:11">
      <c r="A14">
        <v>13</v>
      </c>
      <c r="B14" s="13">
        <v>0</v>
      </c>
      <c r="C14" s="13">
        <v>-30000</v>
      </c>
      <c r="D14" s="13">
        <v>87672</v>
      </c>
      <c r="E14" s="13">
        <v>78499</v>
      </c>
      <c r="J14" s="80"/>
      <c r="K14" s="80"/>
    </row>
    <row r="15" spans="1:11">
      <c r="A15">
        <v>14</v>
      </c>
      <c r="B15" s="13">
        <v>0</v>
      </c>
      <c r="C15" s="13">
        <v>-30000</v>
      </c>
      <c r="D15" s="13">
        <v>87672</v>
      </c>
      <c r="E15" s="13">
        <v>80383</v>
      </c>
    </row>
    <row r="16" spans="1:11">
      <c r="A16">
        <v>15</v>
      </c>
      <c r="B16" s="13">
        <v>0</v>
      </c>
      <c r="C16" s="13">
        <v>-30000</v>
      </c>
      <c r="D16" s="13">
        <v>87672</v>
      </c>
      <c r="E16" s="13">
        <v>82312</v>
      </c>
    </row>
    <row r="17" spans="1:13">
      <c r="D17" t="s">
        <v>5</v>
      </c>
      <c r="E17" s="1">
        <v>319979.19</v>
      </c>
    </row>
    <row r="18" spans="1:13">
      <c r="D18" t="s">
        <v>6</v>
      </c>
      <c r="E18" s="2">
        <v>45557.84</v>
      </c>
    </row>
    <row r="20" spans="1:13">
      <c r="A20" s="7" t="s">
        <v>7</v>
      </c>
      <c r="B20" s="5" t="s">
        <v>8</v>
      </c>
      <c r="C20" s="8" t="s">
        <v>9</v>
      </c>
      <c r="D20" t="s">
        <v>10</v>
      </c>
    </row>
    <row r="21" spans="1:13">
      <c r="A21" s="9" t="s">
        <v>11</v>
      </c>
      <c r="B21" s="5">
        <v>480</v>
      </c>
      <c r="C21" s="10" t="s">
        <v>12</v>
      </c>
      <c r="D21" t="s">
        <v>13</v>
      </c>
    </row>
    <row r="22" spans="1:13">
      <c r="A22" s="9" t="s">
        <v>14</v>
      </c>
      <c r="B22" s="5">
        <v>86</v>
      </c>
      <c r="C22" s="8" t="s">
        <v>15</v>
      </c>
      <c r="D22" t="s">
        <v>16</v>
      </c>
    </row>
    <row r="23" spans="1:13">
      <c r="A23" s="9" t="s">
        <v>17</v>
      </c>
      <c r="B23" s="5">
        <v>72</v>
      </c>
      <c r="C23" s="8" t="s">
        <v>18</v>
      </c>
      <c r="D23" t="s">
        <v>19</v>
      </c>
    </row>
    <row r="24" spans="1:13">
      <c r="A24" s="9" t="s">
        <v>20</v>
      </c>
      <c r="B24" s="5">
        <v>100</v>
      </c>
      <c r="C24" s="8" t="s">
        <v>21</v>
      </c>
      <c r="D24" t="s">
        <v>19</v>
      </c>
      <c r="E24" s="4" t="s">
        <v>22</v>
      </c>
      <c r="F24" s="70" t="s">
        <v>11</v>
      </c>
      <c r="G24" s="70"/>
      <c r="H24" s="70" t="s">
        <v>14</v>
      </c>
      <c r="I24" s="70"/>
      <c r="J24" s="70" t="s">
        <v>17</v>
      </c>
      <c r="K24" s="70"/>
      <c r="L24" s="68" t="s">
        <v>20</v>
      </c>
      <c r="M24" s="69"/>
    </row>
    <row r="25" spans="1:13">
      <c r="A25" s="5" t="s">
        <v>23</v>
      </c>
      <c r="B25" s="11">
        <v>2.4E-2</v>
      </c>
      <c r="C25" s="5"/>
      <c r="E25" s="5"/>
      <c r="F25" s="5" t="s">
        <v>8</v>
      </c>
      <c r="G25" s="5" t="s">
        <v>5</v>
      </c>
      <c r="H25" s="5" t="s">
        <v>8</v>
      </c>
      <c r="I25" s="5" t="s">
        <v>5</v>
      </c>
      <c r="J25" s="5" t="s">
        <v>8</v>
      </c>
      <c r="K25" s="5" t="s">
        <v>5</v>
      </c>
      <c r="L25" s="5" t="s">
        <v>8</v>
      </c>
      <c r="M25" s="5" t="s">
        <v>5</v>
      </c>
    </row>
    <row r="26" spans="1:13">
      <c r="A26" s="5" t="s">
        <v>24</v>
      </c>
      <c r="B26" s="12">
        <v>7.0000000000000007E-2</v>
      </c>
      <c r="C26" s="5"/>
      <c r="E26" s="4" t="s">
        <v>25</v>
      </c>
      <c r="F26">
        <v>480</v>
      </c>
      <c r="G26" s="32">
        <v>319979.19</v>
      </c>
      <c r="H26" s="5">
        <v>86</v>
      </c>
      <c r="I26" s="32">
        <v>319979.19</v>
      </c>
      <c r="J26" s="5">
        <v>72</v>
      </c>
      <c r="K26" s="32">
        <v>319979.19</v>
      </c>
      <c r="L26" s="5">
        <v>100</v>
      </c>
      <c r="M26" s="32">
        <v>319979.19</v>
      </c>
    </row>
    <row r="27" spans="1:13">
      <c r="A27" s="3"/>
      <c r="E27" s="6">
        <v>-0.2</v>
      </c>
      <c r="F27" s="17">
        <v>384</v>
      </c>
      <c r="G27" s="32">
        <f>319979.19+(480-384)*800</f>
        <v>396779.19</v>
      </c>
      <c r="H27" s="5">
        <v>68.8</v>
      </c>
      <c r="I27" s="32">
        <f>319979.19+(86-H27)*50000</f>
        <v>1179979.1900000002</v>
      </c>
      <c r="J27" s="5">
        <v>57.6</v>
      </c>
      <c r="K27" s="32">
        <f>319979.19+(72-J27)*9.6*365</f>
        <v>370436.79</v>
      </c>
      <c r="L27" s="5">
        <v>80</v>
      </c>
      <c r="M27" s="32">
        <f>319979.19+(100-L27)*0.12*12</f>
        <v>320007.99</v>
      </c>
    </row>
    <row r="28" spans="1:13">
      <c r="A28" s="3"/>
      <c r="E28" s="6">
        <v>-0.15</v>
      </c>
      <c r="F28" s="5">
        <v>408</v>
      </c>
      <c r="G28" s="32">
        <f>319979.19+(480-408)*800</f>
        <v>377579.19</v>
      </c>
      <c r="H28" s="5">
        <v>73.099999999999994</v>
      </c>
      <c r="I28" s="32">
        <f t="shared" ref="I28:I30" si="0">319979.19+(86-H28)*50000</f>
        <v>964979.19000000018</v>
      </c>
      <c r="J28" s="5">
        <v>61.2</v>
      </c>
      <c r="K28" s="32">
        <f t="shared" ref="K28:K30" si="1">319979.19+(72-J28)*9.6*365</f>
        <v>357822.39</v>
      </c>
      <c r="L28" s="5">
        <v>85</v>
      </c>
      <c r="M28" s="32">
        <f t="shared" ref="M28:M30" si="2">319979.19+(100-L28)*0.12*12</f>
        <v>320000.78999999998</v>
      </c>
    </row>
    <row r="29" spans="1:13" ht="15" customHeight="1">
      <c r="A29" s="71" t="s">
        <v>26</v>
      </c>
      <c r="B29" s="72"/>
      <c r="C29" s="73"/>
      <c r="E29" s="6">
        <v>-0.1</v>
      </c>
      <c r="F29" s="5">
        <v>432</v>
      </c>
      <c r="G29" s="32">
        <f>319979.19+(480-432)*800</f>
        <v>358379.19</v>
      </c>
      <c r="H29" s="5">
        <v>77.400000000000006</v>
      </c>
      <c r="I29" s="32">
        <f t="shared" si="0"/>
        <v>749979.18999999971</v>
      </c>
      <c r="J29" s="5">
        <v>64.8</v>
      </c>
      <c r="K29" s="32">
        <f t="shared" si="1"/>
        <v>345207.99</v>
      </c>
      <c r="L29" s="5">
        <v>90</v>
      </c>
      <c r="M29" s="32">
        <f t="shared" si="2"/>
        <v>319993.59000000003</v>
      </c>
    </row>
    <row r="30" spans="1:13">
      <c r="A30" s="14" t="s">
        <v>27</v>
      </c>
      <c r="B30" s="15">
        <v>0.14199999999999999</v>
      </c>
      <c r="C30" s="16" t="s">
        <v>28</v>
      </c>
      <c r="E30" s="6">
        <v>-0.05</v>
      </c>
      <c r="F30" s="5">
        <v>456</v>
      </c>
      <c r="G30" s="32">
        <f>319979.19+(480-456)*800</f>
        <v>339179.19</v>
      </c>
      <c r="H30" s="5">
        <v>81.7</v>
      </c>
      <c r="I30" s="32">
        <f t="shared" si="0"/>
        <v>534979.18999999983</v>
      </c>
      <c r="J30" s="5">
        <v>68.400000000000006</v>
      </c>
      <c r="K30" s="32">
        <f t="shared" si="1"/>
        <v>332593.58999999997</v>
      </c>
      <c r="L30" s="5">
        <v>95</v>
      </c>
      <c r="M30" s="32">
        <f t="shared" si="2"/>
        <v>319986.39</v>
      </c>
    </row>
    <row r="31" spans="1:13">
      <c r="A31" s="14" t="s">
        <v>29</v>
      </c>
      <c r="B31" s="15">
        <v>800</v>
      </c>
      <c r="C31" s="16" t="s">
        <v>30</v>
      </c>
      <c r="E31" s="6">
        <v>0</v>
      </c>
      <c r="F31" s="5">
        <v>480</v>
      </c>
      <c r="G31" s="32">
        <v>319979.19</v>
      </c>
      <c r="H31" s="5">
        <v>86</v>
      </c>
      <c r="I31" s="32">
        <v>319979.19</v>
      </c>
      <c r="J31" s="5">
        <v>72</v>
      </c>
      <c r="K31" s="32">
        <v>319979.19</v>
      </c>
      <c r="L31" s="5">
        <v>100</v>
      </c>
      <c r="M31" s="32">
        <v>319979.19</v>
      </c>
    </row>
    <row r="32" spans="1:13">
      <c r="A32" s="14" t="s">
        <v>31</v>
      </c>
      <c r="B32" s="15">
        <v>9.6</v>
      </c>
      <c r="C32" s="16" t="s">
        <v>32</v>
      </c>
      <c r="E32" s="6">
        <v>0.05</v>
      </c>
      <c r="F32" s="5">
        <v>504</v>
      </c>
      <c r="G32" s="32">
        <f>319979.19+(480-504)*800</f>
        <v>300779.19</v>
      </c>
      <c r="H32" s="5">
        <v>90.3</v>
      </c>
      <c r="I32" s="32">
        <f>319979.19+(86-H32)*50000</f>
        <v>104979.19000000015</v>
      </c>
      <c r="J32" s="5">
        <v>75.599999999999994</v>
      </c>
      <c r="K32" s="32">
        <f>319979.19+(72-J32)*9.6*365</f>
        <v>307364.79000000004</v>
      </c>
      <c r="L32" s="5">
        <v>105</v>
      </c>
      <c r="M32" s="32">
        <f>319979.19+(100-L32)*0.12*12</f>
        <v>319971.99</v>
      </c>
    </row>
    <row r="33" spans="1:13">
      <c r="A33" s="14" t="s">
        <v>33</v>
      </c>
      <c r="B33" s="15">
        <v>50000</v>
      </c>
      <c r="C33" s="16" t="s">
        <v>34</v>
      </c>
      <c r="E33" s="6">
        <v>0.1</v>
      </c>
      <c r="F33" s="5">
        <v>528</v>
      </c>
      <c r="G33" s="32">
        <f>319979.19+(480-F33)*800</f>
        <v>281579.19</v>
      </c>
      <c r="H33" s="5">
        <v>94.6</v>
      </c>
      <c r="I33" s="32">
        <f t="shared" ref="I33:I35" si="3">319979.19+(86-H33)*50000</f>
        <v>-110020.80999999971</v>
      </c>
      <c r="J33" s="5">
        <v>79.2</v>
      </c>
      <c r="K33" s="32">
        <f t="shared" ref="K33:K35" si="4">319979.19+(72-J33)*9.6*365</f>
        <v>294750.39</v>
      </c>
      <c r="L33" s="5">
        <v>110</v>
      </c>
      <c r="M33" s="32">
        <f t="shared" ref="M33:M35" si="5">319979.19+(100-L33)*0.12*12</f>
        <v>319964.78999999998</v>
      </c>
    </row>
    <row r="34" spans="1:13">
      <c r="A34" s="3"/>
      <c r="E34" s="6">
        <v>0.15</v>
      </c>
      <c r="F34" s="5">
        <v>552</v>
      </c>
      <c r="G34" s="32">
        <f t="shared" ref="G34:G35" si="6">319979.19+(480-F34)*800</f>
        <v>262379.19</v>
      </c>
      <c r="H34" s="5">
        <v>98.9</v>
      </c>
      <c r="I34" s="32">
        <f t="shared" si="3"/>
        <v>-325020.81000000023</v>
      </c>
      <c r="J34" s="5">
        <v>82.8</v>
      </c>
      <c r="K34" s="32">
        <f t="shared" si="4"/>
        <v>282135.99</v>
      </c>
      <c r="L34" s="5">
        <v>115</v>
      </c>
      <c r="M34" s="32">
        <f t="shared" si="5"/>
        <v>319957.59000000003</v>
      </c>
    </row>
    <row r="35" spans="1:13">
      <c r="A35" s="3"/>
      <c r="E35" s="6">
        <v>0.2</v>
      </c>
      <c r="F35" s="5">
        <v>576</v>
      </c>
      <c r="G35" s="32">
        <f t="shared" si="6"/>
        <v>243179.19</v>
      </c>
      <c r="H35" s="5">
        <v>103.2</v>
      </c>
      <c r="I35" s="32">
        <f t="shared" si="3"/>
        <v>-540020.81000000006</v>
      </c>
      <c r="J35" s="5">
        <v>86.4</v>
      </c>
      <c r="K35" s="32">
        <f t="shared" si="4"/>
        <v>269521.58999999997</v>
      </c>
      <c r="L35" s="5">
        <v>120</v>
      </c>
      <c r="M35" s="32">
        <f t="shared" si="5"/>
        <v>319950.39</v>
      </c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</sheetData>
  <mergeCells count="15">
    <mergeCell ref="J11:J12"/>
    <mergeCell ref="K11:K12"/>
    <mergeCell ref="J13:J14"/>
    <mergeCell ref="K13:K14"/>
    <mergeCell ref="J5:J6"/>
    <mergeCell ref="K5:K6"/>
    <mergeCell ref="J7:J8"/>
    <mergeCell ref="K7:K8"/>
    <mergeCell ref="J9:J10"/>
    <mergeCell ref="K9:K10"/>
    <mergeCell ref="L24:M24"/>
    <mergeCell ref="F24:G24"/>
    <mergeCell ref="H24:I24"/>
    <mergeCell ref="J24:K24"/>
    <mergeCell ref="A29:C2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4BE-ECA9-497F-B1E9-BE059602F6FD}">
  <dimension ref="A1:AD52"/>
  <sheetViews>
    <sheetView topLeftCell="E45" zoomScale="96" workbookViewId="0">
      <selection activeCell="X14" sqref="X14"/>
    </sheetView>
  </sheetViews>
  <sheetFormatPr defaultRowHeight="14.4"/>
  <cols>
    <col min="1" max="1" width="47.21875" customWidth="1"/>
    <col min="2" max="2" width="19.109375" bestFit="1" customWidth="1"/>
    <col min="3" max="3" width="17.21875" customWidth="1"/>
    <col min="4" max="4" width="31.5546875" customWidth="1"/>
    <col min="5" max="5" width="30.88671875" bestFit="1" customWidth="1"/>
    <col min="6" max="6" width="26.21875" customWidth="1"/>
    <col min="7" max="7" width="17.109375" bestFit="1" customWidth="1"/>
    <col min="8" max="8" width="16.77734375" customWidth="1"/>
    <col min="9" max="9" width="15.109375" customWidth="1"/>
    <col min="10" max="10" width="12.77734375" bestFit="1" customWidth="1"/>
    <col min="11" max="11" width="11.88671875" bestFit="1" customWidth="1"/>
    <col min="12" max="13" width="11.77734375" customWidth="1"/>
    <col min="14" max="14" width="15.5546875" customWidth="1"/>
    <col min="15" max="15" width="15.77734375" customWidth="1"/>
    <col min="16" max="16" width="11.77734375" customWidth="1"/>
    <col min="17" max="17" width="12.88671875" bestFit="1" customWidth="1"/>
    <col min="18" max="18" width="13.77734375" customWidth="1"/>
    <col min="19" max="19" width="15.21875" customWidth="1"/>
    <col min="20" max="20" width="10.109375" customWidth="1"/>
    <col min="21" max="21" width="11.21875" customWidth="1"/>
    <col min="22" max="22" width="16" bestFit="1" customWidth="1"/>
    <col min="23" max="23" width="19.6640625" customWidth="1"/>
    <col min="24" max="24" width="32.44140625" customWidth="1"/>
    <col min="25" max="25" width="16.44140625" customWidth="1"/>
    <col min="26" max="26" width="18.5546875" customWidth="1"/>
    <col min="27" max="27" width="18.77734375" customWidth="1"/>
    <col min="28" max="28" width="21.77734375" customWidth="1"/>
  </cols>
  <sheetData>
    <row r="1" spans="1:30">
      <c r="B1" s="5"/>
      <c r="C1" s="74" t="s">
        <v>35</v>
      </c>
      <c r="D1" s="74"/>
      <c r="E1" s="74"/>
      <c r="F1" s="74"/>
      <c r="G1" s="75" t="s">
        <v>36</v>
      </c>
      <c r="H1" s="75"/>
      <c r="I1" s="75"/>
      <c r="J1" s="75"/>
      <c r="K1" s="75"/>
      <c r="L1" s="75"/>
      <c r="M1" s="75"/>
      <c r="N1" s="75"/>
      <c r="O1" s="75"/>
      <c r="P1" s="75"/>
      <c r="Q1" s="75"/>
      <c r="R1" s="76" t="s">
        <v>37</v>
      </c>
      <c r="S1" s="76"/>
      <c r="T1" s="76"/>
      <c r="U1" s="76"/>
      <c r="V1" s="76"/>
      <c r="W1" s="5"/>
      <c r="Y1" s="77" t="s">
        <v>38</v>
      </c>
      <c r="Z1" s="77"/>
      <c r="AA1" s="77"/>
      <c r="AB1" s="77"/>
      <c r="AC1" s="77"/>
      <c r="AD1" s="77"/>
    </row>
    <row r="2" spans="1:30" ht="69.599999999999994">
      <c r="B2" s="4" t="s">
        <v>0</v>
      </c>
      <c r="C2" s="18" t="s">
        <v>87</v>
      </c>
      <c r="D2" s="19" t="s">
        <v>66</v>
      </c>
      <c r="E2" s="19" t="s">
        <v>88</v>
      </c>
      <c r="F2" s="18"/>
      <c r="G2" s="20" t="s">
        <v>39</v>
      </c>
      <c r="H2" s="20" t="s">
        <v>89</v>
      </c>
      <c r="I2" s="20" t="s">
        <v>90</v>
      </c>
      <c r="J2" s="55" t="s">
        <v>91</v>
      </c>
      <c r="K2" s="55" t="s">
        <v>92</v>
      </c>
      <c r="L2" s="55" t="s">
        <v>93</v>
      </c>
      <c r="M2" s="55" t="s">
        <v>94</v>
      </c>
      <c r="N2" s="55" t="s">
        <v>95</v>
      </c>
      <c r="O2" s="55" t="s">
        <v>96</v>
      </c>
      <c r="P2" s="55" t="s">
        <v>43</v>
      </c>
      <c r="Q2" s="55" t="s">
        <v>44</v>
      </c>
      <c r="R2" s="21" t="s">
        <v>45</v>
      </c>
      <c r="S2" s="21" t="s">
        <v>46</v>
      </c>
      <c r="T2" s="21" t="s">
        <v>97</v>
      </c>
      <c r="U2" s="21" t="s">
        <v>98</v>
      </c>
      <c r="V2" s="22" t="s">
        <v>99</v>
      </c>
      <c r="W2" s="23" t="s">
        <v>4</v>
      </c>
      <c r="Y2" s="24" t="s">
        <v>40</v>
      </c>
      <c r="Z2" s="24" t="s">
        <v>41</v>
      </c>
      <c r="AA2" s="24" t="s">
        <v>42</v>
      </c>
      <c r="AB2" s="24" t="s">
        <v>43</v>
      </c>
    </row>
    <row r="3" spans="1:30">
      <c r="A3" s="78"/>
      <c r="B3" s="4">
        <v>1</v>
      </c>
      <c r="C3" s="25">
        <f>-F$25*B25</f>
        <v>-32300</v>
      </c>
      <c r="D3" s="25">
        <f>-B26*F26*F29</f>
        <v>-8256</v>
      </c>
      <c r="E3" s="25">
        <f>-B28*F28</f>
        <v>-3500</v>
      </c>
      <c r="F3" s="26"/>
      <c r="G3" s="27">
        <f>-$B$25*$F$27</f>
        <v>-64600</v>
      </c>
      <c r="H3" s="27">
        <f t="shared" ref="H3:H12" si="0">-($F$34+$F$35+$F$36)/3-IF(E$49,G$49,0)</f>
        <v>-72702.400000000009</v>
      </c>
      <c r="I3" s="27">
        <f>-$B$28*F$30*12-F$26*F$29*365</f>
        <v>-35210.400000000001</v>
      </c>
      <c r="J3" s="28">
        <f xml:space="preserve"> -(B47*C47) - IF(E47, G47, 0)</f>
        <v>-6825</v>
      </c>
      <c r="K3" s="28">
        <f xml:space="preserve"> -(B48*C48) - IF(E48, G48, 0)</f>
        <v>-4500</v>
      </c>
      <c r="L3" s="28">
        <f t="shared" ref="L3:L12" ca="1" si="1">-Z3</f>
        <v>-6000</v>
      </c>
      <c r="M3" s="28">
        <f xml:space="preserve"> -($B$26 * $F$38) - (B49*C49) - IF(E49, G49, 0)</f>
        <v>-9400</v>
      </c>
      <c r="N3" s="28">
        <f t="shared" ref="N3:N12" ca="1" si="2">-AA3</f>
        <v>0</v>
      </c>
      <c r="O3" s="28">
        <f xml:space="preserve"> -(200 * $F$28)</f>
        <v>-7000</v>
      </c>
      <c r="P3" s="28">
        <f t="shared" ref="P3:P12" ca="1" si="3">-AB3</f>
        <v>0</v>
      </c>
      <c r="Q3" s="28">
        <f t="shared" ref="Q3:Q12" si="4">-IF($E$50,$G$50,0)</f>
        <v>0</v>
      </c>
      <c r="R3" s="29">
        <v>0</v>
      </c>
      <c r="S3" s="29">
        <v>0</v>
      </c>
      <c r="T3" s="29">
        <v>0</v>
      </c>
      <c r="U3" s="29">
        <v>0</v>
      </c>
      <c r="V3" s="30">
        <v>0</v>
      </c>
      <c r="W3" s="31">
        <f t="shared" ref="W3:W12" ca="1" si="5">SUM(C3:V3)*(1+$B$29)^B3</f>
        <v>-256300.85120000003</v>
      </c>
      <c r="Y3" s="32">
        <f t="shared" ref="Y3:Y12" ca="1" si="6">IF(RAND() &lt; ($B$47-IF($E$47, $I$47, 0)), $C$47, 0)</f>
        <v>52500</v>
      </c>
      <c r="Z3" s="32">
        <f t="shared" ref="Z3:Z12" ca="1" si="7">IF(RAND() &lt; ($B$48-IF($E$48, $I$48, 0)), $C$48, 0)</f>
        <v>6000</v>
      </c>
      <c r="AA3" s="32">
        <f t="shared" ref="AA3:AA12" ca="1" si="8">IF(RAND() &lt; ($B$49-IF($E$49, $I$49, 0)), $C$49, 0)</f>
        <v>0</v>
      </c>
      <c r="AB3" s="32">
        <f t="shared" ref="AB3:AB12" ca="1" si="9">IF(RAND() &lt; ($B$50-IF($E$50, $I$50, 0)), $C$50, 0)</f>
        <v>0</v>
      </c>
    </row>
    <row r="4" spans="1:30">
      <c r="A4" s="78"/>
      <c r="B4" s="4">
        <v>2</v>
      </c>
      <c r="C4" s="26">
        <v>0</v>
      </c>
      <c r="D4" s="26">
        <v>0</v>
      </c>
      <c r="E4" s="26">
        <v>0</v>
      </c>
      <c r="F4" s="26"/>
      <c r="G4" s="27">
        <f t="shared" ref="G4:G12" si="10">-$B$25*$F$27</f>
        <v>-64600</v>
      </c>
      <c r="H4" s="27">
        <f t="shared" si="0"/>
        <v>-72702.400000000009</v>
      </c>
      <c r="I4" s="27">
        <f t="shared" ref="I4:I12" si="11">-$B$28*F$30*12-F$26*F$29*365</f>
        <v>-35210.400000000001</v>
      </c>
      <c r="J4" s="28">
        <f t="shared" ref="J4:J12" si="12" xml:space="preserve"> -(B48*C48) - IF(E48, G48, 0)</f>
        <v>-4500</v>
      </c>
      <c r="K4" s="28">
        <f t="shared" ref="K4:K12" si="13" xml:space="preserve"> -(B49*C49) - IF(E49, G49, 0)</f>
        <v>-800</v>
      </c>
      <c r="L4" s="28">
        <f t="shared" ca="1" si="1"/>
        <v>-6000</v>
      </c>
      <c r="M4" s="28">
        <f t="shared" ref="M4:M12" si="14" xml:space="preserve"> -($B$26 * $F$38) - (B50*C50) - IF(E50, G50, 0)</f>
        <v>-10760</v>
      </c>
      <c r="N4" s="28">
        <f t="shared" ca="1" si="2"/>
        <v>0</v>
      </c>
      <c r="O4" s="28">
        <f t="shared" ref="O4:O12" si="15" xml:space="preserve"> -(200 * $F$28)</f>
        <v>-7000</v>
      </c>
      <c r="P4" s="28">
        <f t="shared" ca="1" si="3"/>
        <v>0</v>
      </c>
      <c r="Q4" s="28">
        <f t="shared" si="4"/>
        <v>0</v>
      </c>
      <c r="R4" s="33">
        <f t="shared" ref="R4:R12" si="16">F$28*4*8*365</f>
        <v>408800</v>
      </c>
      <c r="S4" s="33">
        <f t="shared" ref="S4:S12" si="17">F$30*365*24*(1-0.99)</f>
        <v>12.439200000000012</v>
      </c>
      <c r="T4" s="33">
        <f>365*24*(1-0.99)*F$31</f>
        <v>8.7600000000000087</v>
      </c>
      <c r="U4" s="33">
        <f t="shared" ref="U4:U12" si="18">100*365*F$32</f>
        <v>365</v>
      </c>
      <c r="V4" s="34">
        <f t="shared" ref="V4:V12" si="19">F$37*F$30*24</f>
        <v>262647.74399999995</v>
      </c>
      <c r="W4" s="35">
        <f t="shared" ca="1" si="5"/>
        <v>493104.54849208309</v>
      </c>
      <c r="Y4" s="32">
        <f t="shared" ca="1" si="6"/>
        <v>0</v>
      </c>
      <c r="Z4" s="32">
        <f t="shared" ca="1" si="7"/>
        <v>6000</v>
      </c>
      <c r="AA4" s="32">
        <f t="shared" ca="1" si="8"/>
        <v>0</v>
      </c>
      <c r="AB4" s="32">
        <f t="shared" ca="1" si="9"/>
        <v>0</v>
      </c>
    </row>
    <row r="5" spans="1:30">
      <c r="A5" s="78"/>
      <c r="B5" s="4">
        <v>3</v>
      </c>
      <c r="C5" s="26">
        <v>0</v>
      </c>
      <c r="D5" s="26">
        <v>0</v>
      </c>
      <c r="E5" s="26">
        <v>0</v>
      </c>
      <c r="F5" s="26"/>
      <c r="G5" s="27">
        <f t="shared" si="10"/>
        <v>-64600</v>
      </c>
      <c r="H5" s="27">
        <f t="shared" si="0"/>
        <v>-72702.400000000009</v>
      </c>
      <c r="I5" s="27">
        <f t="shared" si="11"/>
        <v>-35210.400000000001</v>
      </c>
      <c r="J5" s="28">
        <f t="shared" si="12"/>
        <v>-800</v>
      </c>
      <c r="K5" s="28">
        <f t="shared" si="13"/>
        <v>-2160</v>
      </c>
      <c r="L5" s="28">
        <f t="shared" ca="1" si="1"/>
        <v>-6000</v>
      </c>
      <c r="M5" s="28">
        <f t="shared" si="14"/>
        <v>-8600</v>
      </c>
      <c r="N5" s="28">
        <f t="shared" ca="1" si="2"/>
        <v>0</v>
      </c>
      <c r="O5" s="28">
        <f t="shared" si="15"/>
        <v>-7000</v>
      </c>
      <c r="P5" s="28">
        <f t="shared" ca="1" si="3"/>
        <v>-18000</v>
      </c>
      <c r="Q5" s="28">
        <f t="shared" si="4"/>
        <v>0</v>
      </c>
      <c r="R5" s="33">
        <f t="shared" si="16"/>
        <v>408800</v>
      </c>
      <c r="S5" s="33">
        <f t="shared" si="17"/>
        <v>12.439200000000012</v>
      </c>
      <c r="T5" s="33">
        <f t="shared" ref="T5:T12" si="20">365*24*(1-0.99)*F$31</f>
        <v>8.7600000000000087</v>
      </c>
      <c r="U5" s="33">
        <f t="shared" si="18"/>
        <v>365</v>
      </c>
      <c r="V5" s="34">
        <f t="shared" si="19"/>
        <v>262647.74399999995</v>
      </c>
      <c r="W5" s="35">
        <f t="shared" ca="1" si="5"/>
        <v>490443.54303189315</v>
      </c>
      <c r="Y5" s="32">
        <f t="shared" ca="1" si="6"/>
        <v>0</v>
      </c>
      <c r="Z5" s="32">
        <f t="shared" ca="1" si="7"/>
        <v>6000</v>
      </c>
      <c r="AA5" s="32">
        <f t="shared" ca="1" si="8"/>
        <v>0</v>
      </c>
      <c r="AB5" s="32">
        <f t="shared" ca="1" si="9"/>
        <v>18000</v>
      </c>
    </row>
    <row r="6" spans="1:30">
      <c r="A6" s="78"/>
      <c r="B6" s="4">
        <v>4</v>
      </c>
      <c r="C6" s="26">
        <v>0</v>
      </c>
      <c r="D6" s="26">
        <v>0</v>
      </c>
      <c r="E6" s="26">
        <v>0</v>
      </c>
      <c r="F6" s="26"/>
      <c r="G6" s="27">
        <f t="shared" si="10"/>
        <v>-64600</v>
      </c>
      <c r="H6" s="27">
        <f t="shared" si="0"/>
        <v>-72702.400000000009</v>
      </c>
      <c r="I6" s="27">
        <f t="shared" si="11"/>
        <v>-35210.400000000001</v>
      </c>
      <c r="J6" s="28">
        <f t="shared" si="12"/>
        <v>-2160</v>
      </c>
      <c r="K6" s="28">
        <f t="shared" si="13"/>
        <v>0</v>
      </c>
      <c r="L6" s="28">
        <f t="shared" ca="1" si="1"/>
        <v>0</v>
      </c>
      <c r="M6" s="28">
        <f t="shared" si="14"/>
        <v>-8600</v>
      </c>
      <c r="N6" s="28">
        <f t="shared" ca="1" si="2"/>
        <v>0</v>
      </c>
      <c r="O6" s="28">
        <f t="shared" si="15"/>
        <v>-7000</v>
      </c>
      <c r="P6" s="28">
        <f t="shared" ca="1" si="3"/>
        <v>0</v>
      </c>
      <c r="Q6" s="28">
        <f t="shared" si="4"/>
        <v>0</v>
      </c>
      <c r="R6" s="33">
        <f t="shared" si="16"/>
        <v>408800</v>
      </c>
      <c r="S6" s="33">
        <f t="shared" si="17"/>
        <v>12.439200000000012</v>
      </c>
      <c r="T6" s="33">
        <f t="shared" si="20"/>
        <v>8.7600000000000087</v>
      </c>
      <c r="U6" s="33">
        <f t="shared" si="18"/>
        <v>365</v>
      </c>
      <c r="V6" s="34">
        <f t="shared" si="19"/>
        <v>262647.74399999995</v>
      </c>
      <c r="W6" s="35">
        <f t="shared" ca="1" si="5"/>
        <v>529482.0764335033</v>
      </c>
      <c r="Y6" s="32">
        <f t="shared" ca="1" si="6"/>
        <v>0</v>
      </c>
      <c r="Z6" s="32">
        <f t="shared" ca="1" si="7"/>
        <v>0</v>
      </c>
      <c r="AA6" s="32">
        <f t="shared" ca="1" si="8"/>
        <v>0</v>
      </c>
      <c r="AB6" s="32">
        <f t="shared" ca="1" si="9"/>
        <v>0</v>
      </c>
    </row>
    <row r="7" spans="1:30">
      <c r="A7" s="78"/>
      <c r="B7" s="4">
        <v>5</v>
      </c>
      <c r="C7" s="26">
        <v>0</v>
      </c>
      <c r="D7" s="26">
        <v>0</v>
      </c>
      <c r="E7" s="26">
        <v>0</v>
      </c>
      <c r="F7" s="26"/>
      <c r="G7" s="27">
        <f t="shared" si="10"/>
        <v>-64600</v>
      </c>
      <c r="H7" s="27">
        <f t="shared" si="0"/>
        <v>-72702.400000000009</v>
      </c>
      <c r="I7" s="27">
        <f t="shared" si="11"/>
        <v>-35210.400000000001</v>
      </c>
      <c r="J7" s="28">
        <f t="shared" si="12"/>
        <v>0</v>
      </c>
      <c r="K7" s="28">
        <f t="shared" si="13"/>
        <v>0</v>
      </c>
      <c r="L7" s="28">
        <f t="shared" ca="1" si="1"/>
        <v>-6000</v>
      </c>
      <c r="M7" s="28">
        <f t="shared" si="14"/>
        <v>-8600</v>
      </c>
      <c r="N7" s="28">
        <f t="shared" ca="1" si="2"/>
        <v>0</v>
      </c>
      <c r="O7" s="28">
        <f t="shared" si="15"/>
        <v>-7000</v>
      </c>
      <c r="P7" s="28">
        <f t="shared" ca="1" si="3"/>
        <v>0</v>
      </c>
      <c r="Q7" s="28">
        <f t="shared" si="4"/>
        <v>0</v>
      </c>
      <c r="R7" s="33">
        <f t="shared" si="16"/>
        <v>408800</v>
      </c>
      <c r="S7" s="33">
        <f t="shared" si="17"/>
        <v>12.439200000000012</v>
      </c>
      <c r="T7" s="33">
        <f t="shared" si="20"/>
        <v>8.7600000000000087</v>
      </c>
      <c r="U7" s="33">
        <f t="shared" si="18"/>
        <v>365</v>
      </c>
      <c r="V7" s="34">
        <f t="shared" si="19"/>
        <v>262647.74399999995</v>
      </c>
      <c r="W7" s="35">
        <f t="shared" ca="1" si="5"/>
        <v>537866.19062563183</v>
      </c>
      <c r="Y7" s="32">
        <f t="shared" ca="1" si="6"/>
        <v>52500</v>
      </c>
      <c r="Z7" s="32">
        <f t="shared" ca="1" si="7"/>
        <v>6000</v>
      </c>
      <c r="AA7" s="32">
        <f t="shared" ca="1" si="8"/>
        <v>0</v>
      </c>
      <c r="AB7" s="32">
        <f t="shared" ca="1" si="9"/>
        <v>0</v>
      </c>
    </row>
    <row r="8" spans="1:30">
      <c r="B8" s="4">
        <v>6</v>
      </c>
      <c r="C8" s="26">
        <v>0</v>
      </c>
      <c r="D8" s="26">
        <v>0</v>
      </c>
      <c r="E8" s="26">
        <v>0</v>
      </c>
      <c r="F8" s="26"/>
      <c r="G8" s="27">
        <f t="shared" si="10"/>
        <v>-64600</v>
      </c>
      <c r="H8" s="27">
        <f t="shared" si="0"/>
        <v>-72702.400000000009</v>
      </c>
      <c r="I8" s="27">
        <f t="shared" si="11"/>
        <v>-35210.400000000001</v>
      </c>
      <c r="J8" s="28">
        <f t="shared" si="12"/>
        <v>0</v>
      </c>
      <c r="K8" s="28">
        <f t="shared" si="13"/>
        <v>0</v>
      </c>
      <c r="L8" s="28">
        <f t="shared" ca="1" si="1"/>
        <v>-6000</v>
      </c>
      <c r="M8" s="28">
        <f t="shared" si="14"/>
        <v>-8600</v>
      </c>
      <c r="N8" s="28">
        <f t="shared" ca="1" si="2"/>
        <v>0</v>
      </c>
      <c r="O8" s="28">
        <f t="shared" si="15"/>
        <v>-7000</v>
      </c>
      <c r="P8" s="28">
        <f t="shared" ca="1" si="3"/>
        <v>-18000</v>
      </c>
      <c r="Q8" s="28">
        <f t="shared" si="4"/>
        <v>0</v>
      </c>
      <c r="R8" s="33">
        <f t="shared" si="16"/>
        <v>408800</v>
      </c>
      <c r="S8" s="33">
        <f t="shared" si="17"/>
        <v>12.439200000000012</v>
      </c>
      <c r="T8" s="33">
        <f t="shared" si="20"/>
        <v>8.7600000000000087</v>
      </c>
      <c r="U8" s="33">
        <f t="shared" si="18"/>
        <v>365</v>
      </c>
      <c r="V8" s="34">
        <f t="shared" si="19"/>
        <v>262647.74399999995</v>
      </c>
      <c r="W8" s="35">
        <f t="shared" ca="1" si="5"/>
        <v>530022.39211772359</v>
      </c>
      <c r="Y8" s="32">
        <f t="shared" ca="1" si="6"/>
        <v>0</v>
      </c>
      <c r="Z8" s="32">
        <f t="shared" ca="1" si="7"/>
        <v>6000</v>
      </c>
      <c r="AA8" s="32">
        <f t="shared" ca="1" si="8"/>
        <v>0</v>
      </c>
      <c r="AB8" s="32">
        <f t="shared" ca="1" si="9"/>
        <v>18000</v>
      </c>
    </row>
    <row r="9" spans="1:30">
      <c r="B9" s="4">
        <v>7</v>
      </c>
      <c r="C9" s="26">
        <v>0</v>
      </c>
      <c r="D9" s="26">
        <v>0</v>
      </c>
      <c r="E9" s="26">
        <v>0</v>
      </c>
      <c r="F9" s="26"/>
      <c r="G9" s="27">
        <f t="shared" si="10"/>
        <v>-64600</v>
      </c>
      <c r="H9" s="27">
        <f t="shared" si="0"/>
        <v>-72702.400000000009</v>
      </c>
      <c r="I9" s="27">
        <f t="shared" si="11"/>
        <v>-35210.400000000001</v>
      </c>
      <c r="J9" s="28">
        <f t="shared" si="12"/>
        <v>0</v>
      </c>
      <c r="K9" s="28">
        <f t="shared" si="13"/>
        <v>0</v>
      </c>
      <c r="L9" s="28">
        <f t="shared" ca="1" si="1"/>
        <v>-6000</v>
      </c>
      <c r="M9" s="28">
        <f t="shared" si="14"/>
        <v>-8600</v>
      </c>
      <c r="N9" s="28">
        <f t="shared" ca="1" si="2"/>
        <v>0</v>
      </c>
      <c r="O9" s="28">
        <f t="shared" si="15"/>
        <v>-7000</v>
      </c>
      <c r="P9" s="28">
        <f t="shared" ca="1" si="3"/>
        <v>0</v>
      </c>
      <c r="Q9" s="28">
        <f t="shared" si="4"/>
        <v>0</v>
      </c>
      <c r="R9" s="33">
        <f t="shared" si="16"/>
        <v>408800</v>
      </c>
      <c r="S9" s="33">
        <f t="shared" si="17"/>
        <v>12.439200000000012</v>
      </c>
      <c r="T9" s="33">
        <f t="shared" si="20"/>
        <v>8.7600000000000087</v>
      </c>
      <c r="U9" s="33">
        <f t="shared" si="18"/>
        <v>365</v>
      </c>
      <c r="V9" s="34">
        <f t="shared" si="19"/>
        <v>262647.74399999995</v>
      </c>
      <c r="W9" s="35">
        <f t="shared" ca="1" si="5"/>
        <v>563993.57870146248</v>
      </c>
      <c r="Y9" s="32">
        <f t="shared" ca="1" si="6"/>
        <v>0</v>
      </c>
      <c r="Z9" s="32">
        <f t="shared" ca="1" si="7"/>
        <v>6000</v>
      </c>
      <c r="AA9" s="32">
        <f t="shared" ca="1" si="8"/>
        <v>0</v>
      </c>
      <c r="AB9" s="32">
        <f t="shared" ca="1" si="9"/>
        <v>0</v>
      </c>
    </row>
    <row r="10" spans="1:30">
      <c r="B10" s="4">
        <v>8</v>
      </c>
      <c r="C10" s="26">
        <v>0</v>
      </c>
      <c r="D10" s="26">
        <v>0</v>
      </c>
      <c r="E10" s="26">
        <v>0</v>
      </c>
      <c r="F10" s="26"/>
      <c r="G10" s="27">
        <f t="shared" si="10"/>
        <v>-64600</v>
      </c>
      <c r="H10" s="27">
        <f t="shared" si="0"/>
        <v>-72702.400000000009</v>
      </c>
      <c r="I10" s="27">
        <f t="shared" si="11"/>
        <v>-35210.400000000001</v>
      </c>
      <c r="J10" s="28">
        <f t="shared" si="12"/>
        <v>0</v>
      </c>
      <c r="K10" s="28">
        <f t="shared" si="13"/>
        <v>0</v>
      </c>
      <c r="L10" s="28">
        <f t="shared" ca="1" si="1"/>
        <v>0</v>
      </c>
      <c r="M10" s="28">
        <f t="shared" si="14"/>
        <v>-8600</v>
      </c>
      <c r="N10" s="28">
        <f t="shared" ca="1" si="2"/>
        <v>0</v>
      </c>
      <c r="O10" s="28">
        <f t="shared" si="15"/>
        <v>-7000</v>
      </c>
      <c r="P10" s="28">
        <f t="shared" ca="1" si="3"/>
        <v>0</v>
      </c>
      <c r="Q10" s="28">
        <f t="shared" si="4"/>
        <v>0</v>
      </c>
      <c r="R10" s="33">
        <f t="shared" si="16"/>
        <v>408800</v>
      </c>
      <c r="S10" s="33">
        <f t="shared" si="17"/>
        <v>12.439200000000012</v>
      </c>
      <c r="T10" s="33">
        <f t="shared" si="20"/>
        <v>8.7600000000000087</v>
      </c>
      <c r="U10" s="33">
        <f t="shared" si="18"/>
        <v>365</v>
      </c>
      <c r="V10" s="34">
        <f t="shared" si="19"/>
        <v>262647.74399999995</v>
      </c>
      <c r="W10" s="35">
        <f t="shared" ca="1" si="5"/>
        <v>584782.97950798529</v>
      </c>
      <c r="Y10" s="32">
        <f t="shared" ca="1" si="6"/>
        <v>0</v>
      </c>
      <c r="Z10" s="32">
        <f t="shared" ca="1" si="7"/>
        <v>0</v>
      </c>
      <c r="AA10" s="32">
        <f t="shared" ca="1" si="8"/>
        <v>0</v>
      </c>
      <c r="AB10" s="32">
        <f t="shared" ca="1" si="9"/>
        <v>0</v>
      </c>
    </row>
    <row r="11" spans="1:30">
      <c r="B11" s="4">
        <v>9</v>
      </c>
      <c r="C11" s="26">
        <v>0</v>
      </c>
      <c r="D11" s="26">
        <v>0</v>
      </c>
      <c r="E11" s="26">
        <v>0</v>
      </c>
      <c r="F11" s="26"/>
      <c r="G11" s="27">
        <f t="shared" si="10"/>
        <v>-64600</v>
      </c>
      <c r="H11" s="27">
        <f t="shared" si="0"/>
        <v>-72702.400000000009</v>
      </c>
      <c r="I11" s="27">
        <f t="shared" si="11"/>
        <v>-35210.400000000001</v>
      </c>
      <c r="J11" s="28">
        <f t="shared" si="12"/>
        <v>0</v>
      </c>
      <c r="K11" s="28">
        <f t="shared" si="13"/>
        <v>0</v>
      </c>
      <c r="L11" s="28">
        <f t="shared" ca="1" si="1"/>
        <v>-6000</v>
      </c>
      <c r="M11" s="28">
        <f t="shared" si="14"/>
        <v>-8600</v>
      </c>
      <c r="N11" s="28">
        <f t="shared" ca="1" si="2"/>
        <v>-40000</v>
      </c>
      <c r="O11" s="28">
        <f t="shared" si="15"/>
        <v>-7000</v>
      </c>
      <c r="P11" s="28">
        <f t="shared" ca="1" si="3"/>
        <v>0</v>
      </c>
      <c r="Q11" s="28">
        <f t="shared" si="4"/>
        <v>0</v>
      </c>
      <c r="R11" s="33">
        <f t="shared" si="16"/>
        <v>408800</v>
      </c>
      <c r="S11" s="33">
        <f t="shared" si="17"/>
        <v>12.439200000000012</v>
      </c>
      <c r="T11" s="33">
        <f t="shared" si="20"/>
        <v>8.7600000000000087</v>
      </c>
      <c r="U11" s="33">
        <f t="shared" si="18"/>
        <v>365</v>
      </c>
      <c r="V11" s="34">
        <f t="shared" si="19"/>
        <v>262647.74399999995</v>
      </c>
      <c r="W11" s="35">
        <f t="shared" ca="1" si="5"/>
        <v>541872.52920904942</v>
      </c>
      <c r="Y11" s="32">
        <f t="shared" ca="1" si="6"/>
        <v>52500</v>
      </c>
      <c r="Z11" s="32">
        <f t="shared" ca="1" si="7"/>
        <v>6000</v>
      </c>
      <c r="AA11" s="32">
        <f t="shared" ca="1" si="8"/>
        <v>40000</v>
      </c>
      <c r="AB11" s="32">
        <f t="shared" ca="1" si="9"/>
        <v>0</v>
      </c>
    </row>
    <row r="12" spans="1:30">
      <c r="B12" s="4">
        <v>10</v>
      </c>
      <c r="C12" s="26">
        <v>0</v>
      </c>
      <c r="D12" s="26">
        <v>0</v>
      </c>
      <c r="E12" s="26">
        <v>0</v>
      </c>
      <c r="F12" s="26"/>
      <c r="G12" s="27">
        <f t="shared" si="10"/>
        <v>-64600</v>
      </c>
      <c r="H12" s="27">
        <f t="shared" si="0"/>
        <v>-72702.400000000009</v>
      </c>
      <c r="I12" s="27">
        <f t="shared" si="11"/>
        <v>-35210.400000000001</v>
      </c>
      <c r="J12" s="28">
        <f t="shared" si="12"/>
        <v>0</v>
      </c>
      <c r="K12" s="28">
        <f t="shared" si="13"/>
        <v>0</v>
      </c>
      <c r="L12" s="28">
        <f t="shared" ca="1" si="1"/>
        <v>-6000</v>
      </c>
      <c r="M12" s="28">
        <f t="shared" si="14"/>
        <v>-8600</v>
      </c>
      <c r="N12" s="28">
        <f t="shared" ca="1" si="2"/>
        <v>0</v>
      </c>
      <c r="O12" s="28">
        <f t="shared" si="15"/>
        <v>-7000</v>
      </c>
      <c r="P12" s="28">
        <f t="shared" ca="1" si="3"/>
        <v>0</v>
      </c>
      <c r="Q12" s="28">
        <f t="shared" si="4"/>
        <v>0</v>
      </c>
      <c r="R12" s="33">
        <f t="shared" si="16"/>
        <v>408800</v>
      </c>
      <c r="S12" s="33">
        <f t="shared" si="17"/>
        <v>12.439200000000012</v>
      </c>
      <c r="T12" s="33">
        <f t="shared" si="20"/>
        <v>8.7600000000000087</v>
      </c>
      <c r="U12" s="33">
        <f t="shared" si="18"/>
        <v>365</v>
      </c>
      <c r="V12" s="34">
        <f t="shared" si="19"/>
        <v>262647.74399999995</v>
      </c>
      <c r="W12" s="35">
        <f t="shared" ca="1" si="5"/>
        <v>605583.49391919584</v>
      </c>
      <c r="Y12" s="32">
        <f t="shared" ca="1" si="6"/>
        <v>0</v>
      </c>
      <c r="Z12" s="32">
        <f t="shared" ca="1" si="7"/>
        <v>6000</v>
      </c>
      <c r="AA12" s="32">
        <f t="shared" ca="1" si="8"/>
        <v>0</v>
      </c>
      <c r="AB12" s="32">
        <f t="shared" ca="1" si="9"/>
        <v>0</v>
      </c>
    </row>
    <row r="13" spans="1:30">
      <c r="V13" s="36" t="s">
        <v>5</v>
      </c>
      <c r="W13" s="37">
        <f ca="1">NPV($B$30,W3:W12)</f>
        <v>3026284.4947057357</v>
      </c>
    </row>
    <row r="14" spans="1:30">
      <c r="V14" s="38" t="s">
        <v>6</v>
      </c>
      <c r="W14" s="39">
        <f ca="1">-PMT($B$30,COUNTA(W3:W12),$W$13)</f>
        <v>430874.82889874745</v>
      </c>
    </row>
    <row r="16" spans="1:30">
      <c r="V16" t="s">
        <v>47</v>
      </c>
      <c r="W16" s="40">
        <v>3502083.5632532728</v>
      </c>
    </row>
    <row r="17" spans="1:23">
      <c r="I17" s="40"/>
      <c r="V17" s="40" t="s">
        <v>48</v>
      </c>
      <c r="W17" s="40">
        <v>498617.91207855201</v>
      </c>
    </row>
    <row r="24" spans="1:23">
      <c r="A24" s="4" t="s">
        <v>49</v>
      </c>
      <c r="B24" s="5" t="s">
        <v>8</v>
      </c>
      <c r="C24" s="5" t="s">
        <v>9</v>
      </c>
      <c r="E24" s="4" t="s">
        <v>50</v>
      </c>
      <c r="F24" s="5"/>
      <c r="G24" s="5"/>
    </row>
    <row r="25" spans="1:23" ht="28.5" customHeight="1">
      <c r="A25" s="5" t="s">
        <v>51</v>
      </c>
      <c r="B25" s="5">
        <v>323</v>
      </c>
      <c r="C25" s="5" t="s">
        <v>52</v>
      </c>
      <c r="E25" s="24" t="s">
        <v>70</v>
      </c>
      <c r="F25" s="5">
        <v>100</v>
      </c>
      <c r="G25" s="5" t="s">
        <v>30</v>
      </c>
    </row>
    <row r="26" spans="1:23">
      <c r="A26" s="5" t="s">
        <v>67</v>
      </c>
      <c r="B26" s="5">
        <v>86</v>
      </c>
      <c r="C26" s="5" t="s">
        <v>15</v>
      </c>
      <c r="E26" s="14" t="s">
        <v>31</v>
      </c>
      <c r="F26" s="15">
        <v>0.96</v>
      </c>
      <c r="G26" s="16" t="s">
        <v>32</v>
      </c>
    </row>
    <row r="27" spans="1:23">
      <c r="A27" s="5" t="s">
        <v>68</v>
      </c>
      <c r="B27" s="5">
        <v>72</v>
      </c>
      <c r="C27" s="5" t="s">
        <v>18</v>
      </c>
      <c r="E27" s="5" t="s">
        <v>71</v>
      </c>
      <c r="F27" s="5">
        <v>200</v>
      </c>
      <c r="G27" s="5" t="s">
        <v>69</v>
      </c>
    </row>
    <row r="28" spans="1:23">
      <c r="A28" s="5" t="s">
        <v>20</v>
      </c>
      <c r="B28" s="5">
        <v>100</v>
      </c>
      <c r="C28" s="5" t="s">
        <v>21</v>
      </c>
      <c r="E28" s="5" t="s">
        <v>100</v>
      </c>
      <c r="F28" s="5">
        <v>35</v>
      </c>
      <c r="G28" s="5" t="s">
        <v>53</v>
      </c>
    </row>
    <row r="29" spans="1:23">
      <c r="A29" s="8" t="s">
        <v>23</v>
      </c>
      <c r="B29" s="11">
        <v>2.4E-2</v>
      </c>
      <c r="E29" s="5" t="s">
        <v>54</v>
      </c>
      <c r="F29" s="5">
        <v>100</v>
      </c>
      <c r="G29" s="5" t="s">
        <v>18</v>
      </c>
    </row>
    <row r="30" spans="1:23">
      <c r="A30" s="8" t="s">
        <v>24</v>
      </c>
      <c r="B30" s="12">
        <v>7.0000000000000007E-2</v>
      </c>
      <c r="E30" s="56" t="s">
        <v>55</v>
      </c>
      <c r="F30" s="56">
        <v>0.14199999999999999</v>
      </c>
      <c r="G30" s="56" t="s">
        <v>28</v>
      </c>
    </row>
    <row r="31" spans="1:23">
      <c r="E31" s="5" t="s">
        <v>75</v>
      </c>
      <c r="F31" s="5">
        <v>0.1</v>
      </c>
      <c r="G31" s="5" t="s">
        <v>76</v>
      </c>
    </row>
    <row r="32" spans="1:23">
      <c r="E32" s="5" t="s">
        <v>77</v>
      </c>
      <c r="F32" s="5">
        <v>0.01</v>
      </c>
      <c r="G32" s="5" t="s">
        <v>78</v>
      </c>
    </row>
    <row r="33" spans="1:10">
      <c r="E33" s="5" t="s">
        <v>79</v>
      </c>
      <c r="F33" s="5">
        <v>276753</v>
      </c>
      <c r="G33" s="5" t="s">
        <v>56</v>
      </c>
    </row>
    <row r="34" spans="1:10">
      <c r="E34" s="5" t="s">
        <v>80</v>
      </c>
      <c r="F34" s="5">
        <v>0.2</v>
      </c>
      <c r="G34" s="5" t="s">
        <v>76</v>
      </c>
    </row>
    <row r="35" spans="1:10">
      <c r="E35" s="5" t="s">
        <v>72</v>
      </c>
      <c r="F35" s="5">
        <v>127224</v>
      </c>
      <c r="G35" s="5" t="s">
        <v>57</v>
      </c>
    </row>
    <row r="36" spans="1:10">
      <c r="E36" s="5" t="s">
        <v>73</v>
      </c>
      <c r="F36" s="5">
        <v>90883</v>
      </c>
      <c r="G36" s="5" t="s">
        <v>57</v>
      </c>
    </row>
    <row r="37" spans="1:10">
      <c r="E37" s="5" t="s">
        <v>74</v>
      </c>
      <c r="F37" s="5">
        <v>77068</v>
      </c>
      <c r="G37" s="5" t="s">
        <v>57</v>
      </c>
    </row>
    <row r="38" spans="1:10">
      <c r="E38" s="5" t="s">
        <v>101</v>
      </c>
      <c r="F38" s="5">
        <v>100</v>
      </c>
      <c r="G38" s="5" t="s">
        <v>34</v>
      </c>
    </row>
    <row r="39" spans="1:10">
      <c r="A39" s="57"/>
      <c r="B39" s="58"/>
      <c r="C39" s="41"/>
    </row>
    <row r="46" spans="1:10">
      <c r="A46" s="59" t="s">
        <v>58</v>
      </c>
      <c r="B46" s="59" t="s">
        <v>59</v>
      </c>
      <c r="C46" s="42" t="s">
        <v>60</v>
      </c>
      <c r="E46" s="43" t="s">
        <v>61</v>
      </c>
      <c r="F46" s="43" t="s">
        <v>62</v>
      </c>
      <c r="G46" s="43" t="s">
        <v>63</v>
      </c>
      <c r="H46" s="43"/>
      <c r="I46" s="43" t="s">
        <v>64</v>
      </c>
      <c r="J46" s="43"/>
    </row>
    <row r="47" spans="1:10" ht="72">
      <c r="A47" s="60" t="s">
        <v>102</v>
      </c>
      <c r="B47" s="61">
        <v>0.13</v>
      </c>
      <c r="C47" s="62">
        <v>52500</v>
      </c>
      <c r="E47" s="44">
        <v>0</v>
      </c>
      <c r="F47" s="44" t="s">
        <v>103</v>
      </c>
      <c r="G47" s="45">
        <v>8500</v>
      </c>
      <c r="H47" s="44" t="s">
        <v>35</v>
      </c>
      <c r="I47" s="46">
        <v>0.4</v>
      </c>
      <c r="J47" s="44" t="s">
        <v>104</v>
      </c>
    </row>
    <row r="48" spans="1:10" ht="86.4">
      <c r="A48" s="60" t="s">
        <v>105</v>
      </c>
      <c r="B48" s="61">
        <v>0.75</v>
      </c>
      <c r="C48" s="63">
        <v>6000</v>
      </c>
      <c r="E48" s="44">
        <v>0</v>
      </c>
      <c r="F48" s="44" t="s">
        <v>106</v>
      </c>
      <c r="G48" s="64">
        <v>6000</v>
      </c>
      <c r="H48" s="44" t="s">
        <v>36</v>
      </c>
      <c r="I48" s="46">
        <v>0.35</v>
      </c>
      <c r="J48" s="44" t="s">
        <v>107</v>
      </c>
    </row>
    <row r="49" spans="1:10" ht="43.2">
      <c r="A49" s="60" t="s">
        <v>108</v>
      </c>
      <c r="B49" s="61">
        <v>0.02</v>
      </c>
      <c r="C49" s="65">
        <v>40000</v>
      </c>
      <c r="E49" s="44">
        <v>0</v>
      </c>
      <c r="F49" s="44" t="s">
        <v>109</v>
      </c>
      <c r="G49" s="64">
        <v>12000</v>
      </c>
      <c r="H49" s="44" t="s">
        <v>36</v>
      </c>
      <c r="I49" s="46">
        <v>0.02</v>
      </c>
      <c r="J49" s="44" t="s">
        <v>110</v>
      </c>
    </row>
    <row r="50" spans="1:10" ht="57.6">
      <c r="A50" s="47" t="s">
        <v>111</v>
      </c>
      <c r="B50" s="66">
        <v>0.12</v>
      </c>
      <c r="C50" s="67">
        <v>18000</v>
      </c>
      <c r="E50" s="44">
        <v>0</v>
      </c>
      <c r="F50" s="44" t="s">
        <v>112</v>
      </c>
      <c r="G50" s="64">
        <v>9000</v>
      </c>
      <c r="H50" s="44" t="s">
        <v>35</v>
      </c>
      <c r="I50" s="46">
        <v>0.22</v>
      </c>
      <c r="J50" s="44" t="s">
        <v>113</v>
      </c>
    </row>
    <row r="52" spans="1:10">
      <c r="A52" t="s">
        <v>65</v>
      </c>
    </row>
  </sheetData>
  <mergeCells count="5">
    <mergeCell ref="C1:F1"/>
    <mergeCell ref="G1:Q1"/>
    <mergeCell ref="R1:V1"/>
    <mergeCell ref="Y1:AD1"/>
    <mergeCell ref="A3:A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58A3-BD68-4EEB-8A6F-646F1C9E5429}">
  <dimension ref="A1:L501"/>
  <sheetViews>
    <sheetView topLeftCell="A123" zoomScale="64" workbookViewId="0">
      <selection activeCell="B147" sqref="B147"/>
    </sheetView>
  </sheetViews>
  <sheetFormatPr defaultRowHeight="14.4"/>
  <cols>
    <col min="2" max="2" width="17" customWidth="1"/>
    <col min="3" max="3" width="15.77734375" customWidth="1"/>
    <col min="10" max="10" width="23.77734375" bestFit="1" customWidth="1"/>
    <col min="11" max="11" width="20.77734375" customWidth="1"/>
    <col min="12" max="12" width="17.5546875" customWidth="1"/>
  </cols>
  <sheetData>
    <row r="1" spans="1:12">
      <c r="A1" t="s">
        <v>81</v>
      </c>
      <c r="B1" t="s">
        <v>5</v>
      </c>
      <c r="C1" t="s">
        <v>6</v>
      </c>
      <c r="J1" s="48"/>
      <c r="K1" s="48" t="s">
        <v>5</v>
      </c>
      <c r="L1" s="48" t="s">
        <v>6</v>
      </c>
    </row>
    <row r="2" spans="1:12">
      <c r="A2">
        <v>1</v>
      </c>
      <c r="B2" s="49">
        <f ca="1">Stochastic!W13</f>
        <v>3026284.4947057357</v>
      </c>
      <c r="C2" s="49">
        <f ca="1">Stochastic!W14</f>
        <v>430874.82889874745</v>
      </c>
      <c r="J2" s="48" t="s">
        <v>82</v>
      </c>
      <c r="K2" s="50">
        <f ca="1">AVERAGE(B2:B501)</f>
        <v>3062724.87172148</v>
      </c>
      <c r="L2" s="51">
        <f ca="1">AVERAGE(C2:C501)</f>
        <v>436063.11877669237</v>
      </c>
    </row>
    <row r="3" spans="1:12">
      <c r="A3">
        <f>A2+1</f>
        <v>2</v>
      </c>
      <c r="B3" s="49">
        <f t="dataTable" ref="B3:C501" dt2D="0" dtr="0" r1="D2" ca="1"/>
        <v>3068104.3139039562</v>
      </c>
      <c r="C3" s="49">
        <v>436829.03032070003</v>
      </c>
      <c r="J3" s="48" t="s">
        <v>83</v>
      </c>
      <c r="K3" s="52">
        <f ca="1">_xlfn.STDEV.S(B2:B501)</f>
        <v>20749.344031817323</v>
      </c>
      <c r="L3" s="52">
        <f ca="1">_xlfn.STDEV.S(C2:C501)</f>
        <v>2954.2397864810991</v>
      </c>
    </row>
    <row r="4" spans="1:12">
      <c r="A4">
        <f>A3+1</f>
        <v>3</v>
      </c>
      <c r="B4" s="49">
        <v>3083211.7978347661</v>
      </c>
      <c r="C4" s="49">
        <v>438979.99615526246</v>
      </c>
      <c r="J4" s="48" t="s">
        <v>84</v>
      </c>
      <c r="K4" s="53">
        <f ca="1">COUNTIF(B2:B501,"&gt;"&amp;0)/500</f>
        <v>1</v>
      </c>
      <c r="L4" s="54">
        <f ca="1">COUNTIF(C2:C501,"&gt;"&amp;0)/500</f>
        <v>1</v>
      </c>
    </row>
    <row r="5" spans="1:12">
      <c r="A5">
        <f t="shared" ref="A5:A68" si="0">A4+1</f>
        <v>4</v>
      </c>
      <c r="B5" s="49">
        <v>3046169.6900388659</v>
      </c>
      <c r="C5" s="49">
        <v>433706.03335152444</v>
      </c>
      <c r="J5" s="48" t="s">
        <v>85</v>
      </c>
      <c r="K5" s="50">
        <f ca="1">K2+_xlfn.CONFIDENCE.T(0.05,K3,500)</f>
        <v>3064548.0205019838</v>
      </c>
      <c r="L5" s="51">
        <f ca="1">L2+_xlfn.CONFIDENCE.T(0.05,L3,500)</f>
        <v>436322.69414716098</v>
      </c>
    </row>
    <row r="6" spans="1:12">
      <c r="A6">
        <f t="shared" si="0"/>
        <v>5</v>
      </c>
      <c r="B6" s="49">
        <v>3072900.9445424154</v>
      </c>
      <c r="C6" s="49">
        <v>437511.96261250938</v>
      </c>
      <c r="J6" s="48" t="s">
        <v>86</v>
      </c>
      <c r="K6" s="50">
        <f ca="1">K2-_xlfn.CONFIDENCE.T(0.05,K3,500)</f>
        <v>3060901.7229409763</v>
      </c>
      <c r="L6" s="51">
        <f ca="1">L2-_xlfn.CONFIDENCE.T(0.05,L3,500)</f>
        <v>435803.54340622376</v>
      </c>
    </row>
    <row r="7" spans="1:12">
      <c r="A7">
        <f t="shared" si="0"/>
        <v>6</v>
      </c>
      <c r="B7" s="49">
        <v>3083881.1909866384</v>
      </c>
      <c r="C7" s="49">
        <v>439075.30268056889</v>
      </c>
    </row>
    <row r="8" spans="1:12">
      <c r="A8">
        <f t="shared" si="0"/>
        <v>7</v>
      </c>
      <c r="B8" s="49">
        <v>3043802.0005172929</v>
      </c>
      <c r="C8" s="49">
        <v>433368.92763020907</v>
      </c>
    </row>
    <row r="9" spans="1:12">
      <c r="A9">
        <f t="shared" si="0"/>
        <v>8</v>
      </c>
      <c r="B9" s="49">
        <v>3051188.9800949097</v>
      </c>
      <c r="C9" s="49">
        <v>434420.66733516823</v>
      </c>
    </row>
    <row r="10" spans="1:12">
      <c r="A10">
        <f t="shared" si="0"/>
        <v>9</v>
      </c>
      <c r="B10" s="49">
        <v>3070667.1712797508</v>
      </c>
      <c r="C10" s="49">
        <v>437193.92355371203</v>
      </c>
    </row>
    <row r="11" spans="1:12">
      <c r="A11">
        <f t="shared" si="0"/>
        <v>10</v>
      </c>
      <c r="B11" s="49">
        <v>3064621.0494705862</v>
      </c>
      <c r="C11" s="49">
        <v>436333.09182933776</v>
      </c>
    </row>
    <row r="12" spans="1:12">
      <c r="A12">
        <f t="shared" si="0"/>
        <v>11</v>
      </c>
      <c r="B12" s="49">
        <v>3070446.0134726386</v>
      </c>
      <c r="C12" s="49">
        <v>437162.43565742671</v>
      </c>
    </row>
    <row r="13" spans="1:12">
      <c r="A13">
        <f t="shared" si="0"/>
        <v>12</v>
      </c>
      <c r="B13" s="49">
        <v>3069587.5403631418</v>
      </c>
      <c r="C13" s="49">
        <v>437040.20839993801</v>
      </c>
    </row>
    <row r="14" spans="1:12">
      <c r="A14">
        <f t="shared" si="0"/>
        <v>13</v>
      </c>
      <c r="B14" s="49">
        <v>3071597.3462064089</v>
      </c>
      <c r="C14" s="49">
        <v>437326.35953686928</v>
      </c>
    </row>
    <row r="15" spans="1:12">
      <c r="A15">
        <f t="shared" si="0"/>
        <v>14</v>
      </c>
      <c r="B15" s="49">
        <v>3064880.4108858309</v>
      </c>
      <c r="C15" s="49">
        <v>436370.01905994414</v>
      </c>
    </row>
    <row r="16" spans="1:12">
      <c r="A16">
        <f t="shared" si="0"/>
        <v>15</v>
      </c>
      <c r="B16" s="49">
        <v>3087326.4637028105</v>
      </c>
      <c r="C16" s="49">
        <v>439565.83200611221</v>
      </c>
    </row>
    <row r="17" spans="1:3">
      <c r="A17">
        <f t="shared" si="0"/>
        <v>16</v>
      </c>
      <c r="B17" s="49">
        <v>3050443.5780290542</v>
      </c>
      <c r="C17" s="49">
        <v>434314.53885050392</v>
      </c>
    </row>
    <row r="18" spans="1:3">
      <c r="A18">
        <f t="shared" si="0"/>
        <v>17</v>
      </c>
      <c r="B18" s="49">
        <v>3091083.5220489623</v>
      </c>
      <c r="C18" s="49">
        <v>440100.7525910383</v>
      </c>
    </row>
    <row r="19" spans="1:3">
      <c r="A19">
        <f t="shared" si="0"/>
        <v>18</v>
      </c>
      <c r="B19" s="49">
        <v>3043343.0868228716</v>
      </c>
      <c r="C19" s="49">
        <v>433303.58864442998</v>
      </c>
    </row>
    <row r="20" spans="1:3">
      <c r="A20">
        <f t="shared" si="0"/>
        <v>19</v>
      </c>
      <c r="B20" s="49">
        <v>3073850.7528443811</v>
      </c>
      <c r="C20" s="49">
        <v>437647.19394661294</v>
      </c>
    </row>
    <row r="21" spans="1:3">
      <c r="A21">
        <f t="shared" si="0"/>
        <v>20</v>
      </c>
      <c r="B21" s="49">
        <v>3060904.5782129765</v>
      </c>
      <c r="C21" s="49">
        <v>435803.94993272127</v>
      </c>
    </row>
    <row r="22" spans="1:3">
      <c r="A22">
        <f t="shared" si="0"/>
        <v>21</v>
      </c>
      <c r="B22" s="49">
        <v>3054723.279588474</v>
      </c>
      <c r="C22" s="49">
        <v>434923.87207095244</v>
      </c>
    </row>
    <row r="23" spans="1:3">
      <c r="A23">
        <f t="shared" si="0"/>
        <v>22</v>
      </c>
      <c r="B23" s="49">
        <v>3060735.6241950542</v>
      </c>
      <c r="C23" s="49">
        <v>435779.89468157367</v>
      </c>
    </row>
    <row r="24" spans="1:3">
      <c r="A24">
        <f t="shared" si="0"/>
        <v>23</v>
      </c>
      <c r="B24" s="49">
        <v>3063729.4055811469</v>
      </c>
      <c r="C24" s="49">
        <v>436206.14179903723</v>
      </c>
    </row>
    <row r="25" spans="1:3">
      <c r="A25">
        <f t="shared" si="0"/>
        <v>24</v>
      </c>
      <c r="B25" s="49">
        <v>3028865.6622956083</v>
      </c>
      <c r="C25" s="49">
        <v>431242.32909431437</v>
      </c>
    </row>
    <row r="26" spans="1:3">
      <c r="A26">
        <f t="shared" si="0"/>
        <v>25</v>
      </c>
      <c r="B26" s="49">
        <v>3064871.3396814191</v>
      </c>
      <c r="C26" s="49">
        <v>436368.72752451326</v>
      </c>
    </row>
    <row r="27" spans="1:3">
      <c r="A27">
        <f t="shared" si="0"/>
        <v>26</v>
      </c>
      <c r="B27" s="49">
        <v>3041194.5122169941</v>
      </c>
      <c r="C27" s="49">
        <v>432997.67995762173</v>
      </c>
    </row>
    <row r="28" spans="1:3">
      <c r="A28">
        <f t="shared" si="0"/>
        <v>27</v>
      </c>
      <c r="B28" s="49">
        <v>3061124.023389746</v>
      </c>
      <c r="C28" s="49">
        <v>435835.1939889752</v>
      </c>
    </row>
    <row r="29" spans="1:3">
      <c r="A29">
        <f t="shared" si="0"/>
        <v>28</v>
      </c>
      <c r="B29" s="49">
        <v>3023981.9697772749</v>
      </c>
      <c r="C29" s="49">
        <v>430547.00114946568</v>
      </c>
    </row>
    <row r="30" spans="1:3">
      <c r="A30">
        <f t="shared" si="0"/>
        <v>29</v>
      </c>
      <c r="B30" s="49">
        <v>3087433.4328373228</v>
      </c>
      <c r="C30" s="49">
        <v>439581.06200435298</v>
      </c>
    </row>
    <row r="31" spans="1:3">
      <c r="A31">
        <f t="shared" si="0"/>
        <v>30</v>
      </c>
      <c r="B31" s="49">
        <v>3087342.4190225122</v>
      </c>
      <c r="C31" s="49">
        <v>439568.10368468653</v>
      </c>
    </row>
    <row r="32" spans="1:3">
      <c r="A32">
        <f t="shared" si="0"/>
        <v>31</v>
      </c>
      <c r="B32" s="49">
        <v>3070242.1270233993</v>
      </c>
      <c r="C32" s="49">
        <v>437133.40681394411</v>
      </c>
    </row>
    <row r="33" spans="1:3">
      <c r="A33">
        <f t="shared" si="0"/>
        <v>32</v>
      </c>
      <c r="B33" s="49">
        <v>3066265.5572030726</v>
      </c>
      <c r="C33" s="49">
        <v>436567.23273350502</v>
      </c>
    </row>
    <row r="34" spans="1:3">
      <c r="A34">
        <f t="shared" si="0"/>
        <v>33</v>
      </c>
      <c r="B34" s="49">
        <v>3071838.5167883979</v>
      </c>
      <c r="C34" s="49">
        <v>437360.69680206414</v>
      </c>
    </row>
    <row r="35" spans="1:3">
      <c r="A35">
        <f t="shared" si="0"/>
        <v>34</v>
      </c>
      <c r="B35" s="49">
        <v>3047635.1711096042</v>
      </c>
      <c r="C35" s="49">
        <v>433914.68488667032</v>
      </c>
    </row>
    <row r="36" spans="1:3">
      <c r="A36">
        <f t="shared" si="0"/>
        <v>35</v>
      </c>
      <c r="B36" s="49">
        <v>3043170.64860901</v>
      </c>
      <c r="C36" s="49">
        <v>433279.03732216562</v>
      </c>
    </row>
    <row r="37" spans="1:3">
      <c r="A37">
        <f t="shared" si="0"/>
        <v>36</v>
      </c>
      <c r="B37" s="49">
        <v>3051729.1500226473</v>
      </c>
      <c r="C37" s="49">
        <v>434497.57538052794</v>
      </c>
    </row>
    <row r="38" spans="1:3">
      <c r="A38">
        <f t="shared" si="0"/>
        <v>37</v>
      </c>
      <c r="B38" s="49">
        <v>3060754.5937587852</v>
      </c>
      <c r="C38" s="49">
        <v>435782.59552068554</v>
      </c>
    </row>
    <row r="39" spans="1:3">
      <c r="A39">
        <f t="shared" si="0"/>
        <v>38</v>
      </c>
      <c r="B39" s="49">
        <v>3080409.7045499617</v>
      </c>
      <c r="C39" s="49">
        <v>438581.04111096292</v>
      </c>
    </row>
    <row r="40" spans="1:3">
      <c r="A40">
        <f t="shared" si="0"/>
        <v>39</v>
      </c>
      <c r="B40" s="49">
        <v>3093798.2835237756</v>
      </c>
      <c r="C40" s="49">
        <v>440487.27355032269</v>
      </c>
    </row>
    <row r="41" spans="1:3">
      <c r="A41">
        <f t="shared" si="0"/>
        <v>40</v>
      </c>
      <c r="B41" s="49">
        <v>3059491.9982434241</v>
      </c>
      <c r="C41" s="49">
        <v>435602.83032425371</v>
      </c>
    </row>
    <row r="42" spans="1:3">
      <c r="A42">
        <f t="shared" si="0"/>
        <v>41</v>
      </c>
      <c r="B42" s="49">
        <v>3073011.8366981084</v>
      </c>
      <c r="C42" s="49">
        <v>437527.75116070901</v>
      </c>
    </row>
    <row r="43" spans="1:3">
      <c r="A43">
        <f t="shared" si="0"/>
        <v>42</v>
      </c>
      <c r="B43" s="49">
        <v>3049331.7830307526</v>
      </c>
      <c r="C43" s="49">
        <v>434156.2442551009</v>
      </c>
    </row>
    <row r="44" spans="1:3">
      <c r="A44">
        <f t="shared" si="0"/>
        <v>43</v>
      </c>
      <c r="B44" s="49">
        <v>3092777.631561351</v>
      </c>
      <c r="C44" s="49">
        <v>440341.95567275886</v>
      </c>
    </row>
    <row r="45" spans="1:3">
      <c r="A45">
        <f t="shared" si="0"/>
        <v>44</v>
      </c>
      <c r="B45" s="49">
        <v>3057317.1234530117</v>
      </c>
      <c r="C45" s="49">
        <v>435293.17708285007</v>
      </c>
    </row>
    <row r="46" spans="1:3">
      <c r="A46">
        <f t="shared" si="0"/>
        <v>45</v>
      </c>
      <c r="B46" s="49">
        <v>3067002.9890237693</v>
      </c>
      <c r="C46" s="49">
        <v>436672.22643456748</v>
      </c>
    </row>
    <row r="47" spans="1:3">
      <c r="A47">
        <f t="shared" si="0"/>
        <v>46</v>
      </c>
      <c r="B47" s="49">
        <v>3092579.4686481948</v>
      </c>
      <c r="C47" s="49">
        <v>440313.74173205049</v>
      </c>
    </row>
    <row r="48" spans="1:3">
      <c r="A48">
        <f t="shared" si="0"/>
        <v>47</v>
      </c>
      <c r="B48" s="49">
        <v>3056063.5706844502</v>
      </c>
      <c r="C48" s="49">
        <v>435114.69937012531</v>
      </c>
    </row>
    <row r="49" spans="1:3">
      <c r="A49">
        <f t="shared" si="0"/>
        <v>48</v>
      </c>
      <c r="B49" s="49">
        <v>3076008.2913271706</v>
      </c>
      <c r="C49" s="49">
        <v>437954.37888783071</v>
      </c>
    </row>
    <row r="50" spans="1:3">
      <c r="A50">
        <f t="shared" si="0"/>
        <v>49</v>
      </c>
      <c r="B50" s="49">
        <v>3078828.4422482075</v>
      </c>
      <c r="C50" s="49">
        <v>438355.90493328223</v>
      </c>
    </row>
    <row r="51" spans="1:3">
      <c r="A51">
        <f t="shared" si="0"/>
        <v>50</v>
      </c>
      <c r="B51" s="49">
        <v>3044333.5366411363</v>
      </c>
      <c r="C51" s="49">
        <v>433444.60641613131</v>
      </c>
    </row>
    <row r="52" spans="1:3">
      <c r="A52">
        <f t="shared" si="0"/>
        <v>51</v>
      </c>
      <c r="B52" s="49">
        <v>3073207.3734876374</v>
      </c>
      <c r="C52" s="49">
        <v>437555.59120049351</v>
      </c>
    </row>
    <row r="53" spans="1:3">
      <c r="A53">
        <f t="shared" si="0"/>
        <v>52</v>
      </c>
      <c r="B53" s="49">
        <v>3053869.9418827533</v>
      </c>
      <c r="C53" s="49">
        <v>434802.37597942888</v>
      </c>
    </row>
    <row r="54" spans="1:3">
      <c r="A54">
        <f t="shared" si="0"/>
        <v>53</v>
      </c>
      <c r="B54" s="49">
        <v>3075834.0657019196</v>
      </c>
      <c r="C54" s="49">
        <v>437929.57307839638</v>
      </c>
    </row>
    <row r="55" spans="1:3">
      <c r="A55">
        <f t="shared" si="0"/>
        <v>54</v>
      </c>
      <c r="B55" s="49">
        <v>3062402.0478135585</v>
      </c>
      <c r="C55" s="49">
        <v>436017.15591486223</v>
      </c>
    </row>
    <row r="56" spans="1:3">
      <c r="A56">
        <f t="shared" si="0"/>
        <v>55</v>
      </c>
      <c r="B56" s="49">
        <v>3071414.2677862067</v>
      </c>
      <c r="C56" s="49">
        <v>437300.29328859755</v>
      </c>
    </row>
    <row r="57" spans="1:3">
      <c r="A57">
        <f t="shared" si="0"/>
        <v>56</v>
      </c>
      <c r="B57" s="49">
        <v>3069431.6716715451</v>
      </c>
      <c r="C57" s="49">
        <v>437018.01620487508</v>
      </c>
    </row>
    <row r="58" spans="1:3">
      <c r="A58">
        <f t="shared" si="0"/>
        <v>57</v>
      </c>
      <c r="B58" s="49">
        <v>3079064.6845482741</v>
      </c>
      <c r="C58" s="49">
        <v>438389.5405220043</v>
      </c>
    </row>
    <row r="59" spans="1:3">
      <c r="A59">
        <f t="shared" si="0"/>
        <v>58</v>
      </c>
      <c r="B59" s="49">
        <v>3086165.9009557259</v>
      </c>
      <c r="C59" s="49">
        <v>439400.59398042387</v>
      </c>
    </row>
    <row r="60" spans="1:3">
      <c r="A60">
        <f t="shared" si="0"/>
        <v>59</v>
      </c>
      <c r="B60" s="49">
        <v>3078828.4422482075</v>
      </c>
      <c r="C60" s="49">
        <v>438355.90493328223</v>
      </c>
    </row>
    <row r="61" spans="1:3">
      <c r="A61">
        <f t="shared" si="0"/>
        <v>60</v>
      </c>
      <c r="B61" s="49">
        <v>3075577.1658573295</v>
      </c>
      <c r="C61" s="49">
        <v>437892.99632007262</v>
      </c>
    </row>
    <row r="62" spans="1:3">
      <c r="A62">
        <f t="shared" si="0"/>
        <v>61</v>
      </c>
      <c r="B62" s="49">
        <v>3086916.5329625648</v>
      </c>
      <c r="C62" s="49">
        <v>439507.46709102485</v>
      </c>
    </row>
    <row r="63" spans="1:3">
      <c r="A63">
        <f t="shared" si="0"/>
        <v>62</v>
      </c>
      <c r="B63" s="49">
        <v>3077435.9389324477</v>
      </c>
      <c r="C63" s="49">
        <v>438157.64378864481</v>
      </c>
    </row>
    <row r="64" spans="1:3">
      <c r="A64">
        <f t="shared" si="0"/>
        <v>63</v>
      </c>
      <c r="B64" s="49">
        <v>3070203.6813925165</v>
      </c>
      <c r="C64" s="49">
        <v>437127.93302102829</v>
      </c>
    </row>
    <row r="65" spans="1:3">
      <c r="A65">
        <f t="shared" si="0"/>
        <v>64</v>
      </c>
      <c r="B65" s="49">
        <v>3076938.4662538287</v>
      </c>
      <c r="C65" s="49">
        <v>438086.8148709879</v>
      </c>
    </row>
    <row r="66" spans="1:3">
      <c r="A66">
        <f t="shared" si="0"/>
        <v>65</v>
      </c>
      <c r="B66" s="49">
        <v>3073718.6705706646</v>
      </c>
      <c r="C66" s="49">
        <v>437628.38840232673</v>
      </c>
    </row>
    <row r="67" spans="1:3">
      <c r="A67">
        <f t="shared" si="0"/>
        <v>66</v>
      </c>
      <c r="B67" s="49">
        <v>3063503.7373435963</v>
      </c>
      <c r="C67" s="49">
        <v>436174.01171892992</v>
      </c>
    </row>
    <row r="68" spans="1:3">
      <c r="A68">
        <f t="shared" si="0"/>
        <v>67</v>
      </c>
      <c r="B68" s="49">
        <v>3059358.2951762611</v>
      </c>
      <c r="C68" s="49">
        <v>435583.794015444</v>
      </c>
    </row>
    <row r="69" spans="1:3">
      <c r="A69">
        <f t="shared" ref="A69:A132" si="1">A68+1</f>
        <v>68</v>
      </c>
      <c r="B69" s="49">
        <v>3057650.0841889386</v>
      </c>
      <c r="C69" s="49">
        <v>435340.5832009376</v>
      </c>
    </row>
    <row r="70" spans="1:3">
      <c r="A70">
        <f t="shared" si="1"/>
        <v>69</v>
      </c>
      <c r="B70" s="49">
        <v>3089356.51651436</v>
      </c>
      <c r="C70" s="49">
        <v>439854.86585582525</v>
      </c>
    </row>
    <row r="71" spans="1:3">
      <c r="A71">
        <f t="shared" si="1"/>
        <v>70</v>
      </c>
      <c r="B71" s="49">
        <v>3083177.9950072141</v>
      </c>
      <c r="C71" s="49">
        <v>438975.1833930905</v>
      </c>
    </row>
    <row r="72" spans="1:3">
      <c r="A72">
        <f t="shared" si="1"/>
        <v>71</v>
      </c>
      <c r="B72" s="49">
        <v>3023430.6469071996</v>
      </c>
      <c r="C72" s="49">
        <v>430468.50517602795</v>
      </c>
    </row>
    <row r="73" spans="1:3">
      <c r="A73">
        <f t="shared" si="1"/>
        <v>72</v>
      </c>
      <c r="B73" s="49">
        <v>3075150.7200986068</v>
      </c>
      <c r="C73" s="49">
        <v>437832.280037897</v>
      </c>
    </row>
    <row r="74" spans="1:3">
      <c r="A74">
        <f t="shared" si="1"/>
        <v>73</v>
      </c>
      <c r="B74" s="49">
        <v>3048318.505022848</v>
      </c>
      <c r="C74" s="49">
        <v>434011.97626276693</v>
      </c>
    </row>
    <row r="75" spans="1:3">
      <c r="A75">
        <f t="shared" si="1"/>
        <v>74</v>
      </c>
      <c r="B75" s="49">
        <v>3013539.1871522283</v>
      </c>
      <c r="C75" s="49">
        <v>429060.1838377869</v>
      </c>
    </row>
    <row r="76" spans="1:3">
      <c r="A76">
        <f t="shared" si="1"/>
        <v>75</v>
      </c>
      <c r="B76" s="49">
        <v>3061925.0389708574</v>
      </c>
      <c r="C76" s="49">
        <v>435949.24058705958</v>
      </c>
    </row>
    <row r="77" spans="1:3">
      <c r="A77">
        <f t="shared" si="1"/>
        <v>76</v>
      </c>
      <c r="B77" s="49">
        <v>3073869.6731742625</v>
      </c>
      <c r="C77" s="49">
        <v>437649.88777593226</v>
      </c>
    </row>
    <row r="78" spans="1:3">
      <c r="A78">
        <f t="shared" si="1"/>
        <v>77</v>
      </c>
      <c r="B78" s="49">
        <v>3092603.943121172</v>
      </c>
      <c r="C78" s="49">
        <v>440317.22634639352</v>
      </c>
    </row>
    <row r="79" spans="1:3">
      <c r="A79">
        <f t="shared" si="1"/>
        <v>78</v>
      </c>
      <c r="B79" s="49">
        <v>3052824.6561529902</v>
      </c>
      <c r="C79" s="49">
        <v>434653.55080758862</v>
      </c>
    </row>
    <row r="80" spans="1:3">
      <c r="A80">
        <f t="shared" si="1"/>
        <v>79</v>
      </c>
      <c r="B80" s="49">
        <v>3076997.3349339287</v>
      </c>
      <c r="C80" s="49">
        <v>438095.19644664944</v>
      </c>
    </row>
    <row r="81" spans="1:3">
      <c r="A81">
        <f t="shared" si="1"/>
        <v>80</v>
      </c>
      <c r="B81" s="49">
        <v>3050887.1403314862</v>
      </c>
      <c r="C81" s="49">
        <v>434377.69214342814</v>
      </c>
    </row>
    <row r="82" spans="1:3">
      <c r="A82">
        <f t="shared" si="1"/>
        <v>81</v>
      </c>
      <c r="B82" s="49">
        <v>3038670.5339208813</v>
      </c>
      <c r="C82" s="49">
        <v>432638.32223088312</v>
      </c>
    </row>
    <row r="83" spans="1:3">
      <c r="A83">
        <f t="shared" si="1"/>
        <v>82</v>
      </c>
      <c r="B83" s="49">
        <v>3058499.2901056949</v>
      </c>
      <c r="C83" s="49">
        <v>435461.49101866665</v>
      </c>
    </row>
    <row r="84" spans="1:3">
      <c r="A84">
        <f t="shared" si="1"/>
        <v>83</v>
      </c>
      <c r="B84" s="49">
        <v>3082252.445370812</v>
      </c>
      <c r="C84" s="49">
        <v>438843.40594720939</v>
      </c>
    </row>
    <row r="85" spans="1:3">
      <c r="A85">
        <f t="shared" si="1"/>
        <v>84</v>
      </c>
      <c r="B85" s="49">
        <v>3083351.6834473931</v>
      </c>
      <c r="C85" s="49">
        <v>438999.91271945584</v>
      </c>
    </row>
    <row r="86" spans="1:3">
      <c r="A86">
        <f t="shared" si="1"/>
        <v>85</v>
      </c>
      <c r="B86" s="49">
        <v>3053288.313136267</v>
      </c>
      <c r="C86" s="49">
        <v>434719.56513098971</v>
      </c>
    </row>
    <row r="87" spans="1:3">
      <c r="A87">
        <f t="shared" si="1"/>
        <v>86</v>
      </c>
      <c r="B87" s="49">
        <v>3081797.2935309364</v>
      </c>
      <c r="C87" s="49">
        <v>438778.60256488615</v>
      </c>
    </row>
    <row r="88" spans="1:3">
      <c r="A88">
        <f t="shared" si="1"/>
        <v>87</v>
      </c>
      <c r="B88" s="49">
        <v>3051297.8881887523</v>
      </c>
      <c r="C88" s="49">
        <v>434436.17339759629</v>
      </c>
    </row>
    <row r="89" spans="1:3">
      <c r="A89">
        <f t="shared" si="1"/>
        <v>88</v>
      </c>
      <c r="B89" s="49">
        <v>3068006.2098846775</v>
      </c>
      <c r="C89" s="49">
        <v>436815.06251542759</v>
      </c>
    </row>
    <row r="90" spans="1:3">
      <c r="A90">
        <f t="shared" si="1"/>
        <v>89</v>
      </c>
      <c r="B90" s="49">
        <v>3066579.5577608375</v>
      </c>
      <c r="C90" s="49">
        <v>436611.93934877455</v>
      </c>
    </row>
    <row r="91" spans="1:3">
      <c r="A91">
        <f t="shared" si="1"/>
        <v>90</v>
      </c>
      <c r="B91" s="49">
        <v>3042659.9689900125</v>
      </c>
      <c r="C91" s="49">
        <v>433206.32803331898</v>
      </c>
    </row>
    <row r="92" spans="1:3">
      <c r="A92">
        <f t="shared" si="1"/>
        <v>91</v>
      </c>
      <c r="B92" s="49">
        <v>3022921.162162594</v>
      </c>
      <c r="C92" s="49">
        <v>430395.96601041331</v>
      </c>
    </row>
    <row r="93" spans="1:3">
      <c r="A93">
        <f t="shared" si="1"/>
        <v>92</v>
      </c>
      <c r="B93" s="49">
        <v>3063318.9275915907</v>
      </c>
      <c r="C93" s="49">
        <v>436147.69896795967</v>
      </c>
    </row>
    <row r="94" spans="1:3">
      <c r="A94">
        <f t="shared" si="1"/>
        <v>93</v>
      </c>
      <c r="B94" s="49">
        <v>3025974.4370588171</v>
      </c>
      <c r="C94" s="49">
        <v>430830.68366527767</v>
      </c>
    </row>
    <row r="95" spans="1:3">
      <c r="A95">
        <f t="shared" si="1"/>
        <v>94</v>
      </c>
      <c r="B95" s="49">
        <v>3086456.6593704787</v>
      </c>
      <c r="C95" s="49">
        <v>439441.99143741332</v>
      </c>
    </row>
    <row r="96" spans="1:3">
      <c r="A96">
        <f t="shared" si="1"/>
        <v>95</v>
      </c>
      <c r="B96" s="49">
        <v>3064202.102645136</v>
      </c>
      <c r="C96" s="49">
        <v>436273.44322655461</v>
      </c>
    </row>
    <row r="97" spans="1:3">
      <c r="A97">
        <f t="shared" si="1"/>
        <v>96</v>
      </c>
      <c r="B97" s="49">
        <v>3059119.9639055538</v>
      </c>
      <c r="C97" s="49">
        <v>435549.86100429884</v>
      </c>
    </row>
    <row r="98" spans="1:3">
      <c r="A98">
        <f t="shared" si="1"/>
        <v>97</v>
      </c>
      <c r="B98" s="49">
        <v>3038231.9830098501</v>
      </c>
      <c r="C98" s="49">
        <v>432575.8824473517</v>
      </c>
    </row>
    <row r="99" spans="1:3">
      <c r="A99">
        <f t="shared" si="1"/>
        <v>98</v>
      </c>
      <c r="B99" s="49">
        <v>3062402.0478135585</v>
      </c>
      <c r="C99" s="49">
        <v>436017.15591486223</v>
      </c>
    </row>
    <row r="100" spans="1:3">
      <c r="A100">
        <f t="shared" si="1"/>
        <v>99</v>
      </c>
      <c r="B100" s="49">
        <v>3071876.5961753079</v>
      </c>
      <c r="C100" s="49">
        <v>437366.11845007777</v>
      </c>
    </row>
    <row r="101" spans="1:3">
      <c r="A101">
        <f t="shared" si="1"/>
        <v>100</v>
      </c>
      <c r="B101" s="49">
        <v>3078385.9896590114</v>
      </c>
      <c r="C101" s="49">
        <v>438292.90963855723</v>
      </c>
    </row>
    <row r="102" spans="1:3">
      <c r="A102">
        <f t="shared" si="1"/>
        <v>101</v>
      </c>
      <c r="B102" s="49">
        <v>3067327.9516175715</v>
      </c>
      <c r="C102" s="49">
        <v>436718.49379715289</v>
      </c>
    </row>
    <row r="103" spans="1:3">
      <c r="A103">
        <f t="shared" si="1"/>
        <v>102</v>
      </c>
      <c r="B103" s="49">
        <v>3039293.8861639546</v>
      </c>
      <c r="C103" s="49">
        <v>432727.0735665714</v>
      </c>
    </row>
    <row r="104" spans="1:3">
      <c r="A104">
        <f t="shared" si="1"/>
        <v>103</v>
      </c>
      <c r="B104" s="49">
        <v>3103748.1584166992</v>
      </c>
      <c r="C104" s="49">
        <v>441903.91189002682</v>
      </c>
    </row>
    <row r="105" spans="1:3">
      <c r="A105">
        <f t="shared" si="1"/>
        <v>104</v>
      </c>
      <c r="B105" s="49">
        <v>3053093.9622927071</v>
      </c>
      <c r="C105" s="49">
        <v>434691.89394323068</v>
      </c>
    </row>
    <row r="106" spans="1:3">
      <c r="A106">
        <f t="shared" si="1"/>
        <v>105</v>
      </c>
      <c r="B106" s="49">
        <v>3056456.0043140654</v>
      </c>
      <c r="C106" s="49">
        <v>435170.57309029612</v>
      </c>
    </row>
    <row r="107" spans="1:3">
      <c r="A107">
        <f t="shared" si="1"/>
        <v>106</v>
      </c>
      <c r="B107" s="49">
        <v>3040438.6479577534</v>
      </c>
      <c r="C107" s="49">
        <v>432890.06189199019</v>
      </c>
    </row>
    <row r="108" spans="1:3">
      <c r="A108">
        <f t="shared" si="1"/>
        <v>107</v>
      </c>
      <c r="B108" s="49">
        <v>3042128.4642238258</v>
      </c>
      <c r="C108" s="49">
        <v>433130.65371202165</v>
      </c>
    </row>
    <row r="109" spans="1:3">
      <c r="A109">
        <f t="shared" si="1"/>
        <v>108</v>
      </c>
      <c r="B109" s="49">
        <v>3089028.3756255973</v>
      </c>
      <c r="C109" s="49">
        <v>439808.14597554051</v>
      </c>
    </row>
    <row r="110" spans="1:3">
      <c r="A110">
        <f t="shared" si="1"/>
        <v>109</v>
      </c>
      <c r="B110" s="49">
        <v>3039008.5791858858</v>
      </c>
      <c r="C110" s="49">
        <v>432686.45227152325</v>
      </c>
    </row>
    <row r="111" spans="1:3">
      <c r="A111">
        <f t="shared" si="1"/>
        <v>110</v>
      </c>
      <c r="B111" s="49">
        <v>3070266.2352524041</v>
      </c>
      <c r="C111" s="49">
        <v>437136.83928338502</v>
      </c>
    </row>
    <row r="112" spans="1:3">
      <c r="A112">
        <f t="shared" si="1"/>
        <v>111</v>
      </c>
      <c r="B112" s="49">
        <v>3063341.5989081105</v>
      </c>
      <c r="C112" s="49">
        <v>436150.9268533893</v>
      </c>
    </row>
    <row r="113" spans="1:3">
      <c r="A113">
        <f t="shared" si="1"/>
        <v>112</v>
      </c>
      <c r="B113" s="49">
        <v>3039161.0774955791</v>
      </c>
      <c r="C113" s="49">
        <v>432708.16460002755</v>
      </c>
    </row>
    <row r="114" spans="1:3">
      <c r="A114">
        <f t="shared" si="1"/>
        <v>113</v>
      </c>
      <c r="B114" s="49">
        <v>3042634.3599226731</v>
      </c>
      <c r="C114" s="49">
        <v>433202.681878264</v>
      </c>
    </row>
    <row r="115" spans="1:3">
      <c r="A115">
        <f t="shared" si="1"/>
        <v>114</v>
      </c>
      <c r="B115" s="49">
        <v>3073569.4832206471</v>
      </c>
      <c r="C115" s="49">
        <v>437607.14747999265</v>
      </c>
    </row>
    <row r="116" spans="1:3">
      <c r="A116">
        <f t="shared" si="1"/>
        <v>115</v>
      </c>
      <c r="B116" s="49">
        <v>3070414.3293757942</v>
      </c>
      <c r="C116" s="49">
        <v>437157.92455484183</v>
      </c>
    </row>
    <row r="117" spans="1:3">
      <c r="A117">
        <f t="shared" si="1"/>
        <v>116</v>
      </c>
      <c r="B117" s="49">
        <v>3067868.07160389</v>
      </c>
      <c r="C117" s="49">
        <v>436795.39473197807</v>
      </c>
    </row>
    <row r="118" spans="1:3">
      <c r="A118">
        <f t="shared" si="1"/>
        <v>117</v>
      </c>
      <c r="B118" s="49">
        <v>3077609.6273726267</v>
      </c>
      <c r="C118" s="49">
        <v>438182.37311501015</v>
      </c>
    </row>
    <row r="119" spans="1:3">
      <c r="A119">
        <f t="shared" si="1"/>
        <v>118</v>
      </c>
      <c r="B119" s="49">
        <v>3082045.3806080413</v>
      </c>
      <c r="C119" s="49">
        <v>438813.92458338325</v>
      </c>
    </row>
    <row r="120" spans="1:3">
      <c r="A120">
        <f t="shared" si="1"/>
        <v>119</v>
      </c>
      <c r="B120" s="49">
        <v>3083211.7978347661</v>
      </c>
      <c r="C120" s="49">
        <v>438979.99615526246</v>
      </c>
    </row>
    <row r="121" spans="1:3">
      <c r="A121">
        <f t="shared" si="1"/>
        <v>120</v>
      </c>
      <c r="B121" s="49">
        <v>3052448.3838365898</v>
      </c>
      <c r="C121" s="49">
        <v>434599.97809483408</v>
      </c>
    </row>
    <row r="122" spans="1:3">
      <c r="A122">
        <f t="shared" si="1"/>
        <v>121</v>
      </c>
      <c r="B122" s="49">
        <v>3065368.5198718607</v>
      </c>
      <c r="C122" s="49">
        <v>436439.51479843381</v>
      </c>
    </row>
    <row r="123" spans="1:3">
      <c r="A123">
        <f t="shared" si="1"/>
        <v>122</v>
      </c>
      <c r="B123" s="49">
        <v>3071739.2303800085</v>
      </c>
      <c r="C123" s="49">
        <v>437346.5606511829</v>
      </c>
    </row>
    <row r="124" spans="1:3">
      <c r="A124">
        <f t="shared" si="1"/>
        <v>123</v>
      </c>
      <c r="B124" s="49">
        <v>3029460.1510350774</v>
      </c>
      <c r="C124" s="49">
        <v>431326.97091643949</v>
      </c>
    </row>
    <row r="125" spans="1:3">
      <c r="A125">
        <f t="shared" si="1"/>
        <v>124</v>
      </c>
      <c r="B125" s="49">
        <v>3088981.7770854109</v>
      </c>
      <c r="C125" s="49">
        <v>439801.51139175805</v>
      </c>
    </row>
    <row r="126" spans="1:3">
      <c r="A126">
        <f t="shared" si="1"/>
        <v>125</v>
      </c>
      <c r="B126" s="49">
        <v>3063334.9864630424</v>
      </c>
      <c r="C126" s="49">
        <v>436149.98538997362</v>
      </c>
    </row>
    <row r="127" spans="1:3">
      <c r="A127">
        <f t="shared" si="1"/>
        <v>126</v>
      </c>
      <c r="B127" s="49">
        <v>3091506.9533118941</v>
      </c>
      <c r="C127" s="49">
        <v>440161.03967683122</v>
      </c>
    </row>
    <row r="128" spans="1:3">
      <c r="A128">
        <f t="shared" si="1"/>
        <v>127</v>
      </c>
      <c r="B128" s="49">
        <v>3089623.2470614044</v>
      </c>
      <c r="C128" s="49">
        <v>439892.84228501457</v>
      </c>
    </row>
    <row r="129" spans="1:3">
      <c r="A129">
        <f t="shared" si="1"/>
        <v>128</v>
      </c>
      <c r="B129" s="49">
        <v>3071933.807162567</v>
      </c>
      <c r="C129" s="49">
        <v>437374.26400757226</v>
      </c>
    </row>
    <row r="130" spans="1:3">
      <c r="A130">
        <f t="shared" si="1"/>
        <v>129</v>
      </c>
      <c r="B130" s="49">
        <v>3093154.7202539844</v>
      </c>
      <c r="C130" s="49">
        <v>440395.64461912279</v>
      </c>
    </row>
    <row r="131" spans="1:3">
      <c r="A131">
        <f t="shared" si="1"/>
        <v>130</v>
      </c>
      <c r="B131" s="49">
        <v>3052870.7633884852</v>
      </c>
      <c r="C131" s="49">
        <v>434660.11544063606</v>
      </c>
    </row>
    <row r="132" spans="1:3">
      <c r="A132">
        <f t="shared" si="1"/>
        <v>131</v>
      </c>
      <c r="B132" s="49">
        <v>3083475.9633107116</v>
      </c>
      <c r="C132" s="49">
        <v>439017.60737603443</v>
      </c>
    </row>
    <row r="133" spans="1:3">
      <c r="A133">
        <f t="shared" ref="A133:A196" si="2">A132+1</f>
        <v>132</v>
      </c>
      <c r="B133" s="49">
        <v>3083013.6349216099</v>
      </c>
      <c r="C133" s="49">
        <v>438951.78221455414</v>
      </c>
    </row>
    <row r="134" spans="1:3">
      <c r="A134">
        <f t="shared" si="2"/>
        <v>133</v>
      </c>
      <c r="B134" s="49">
        <v>3082642.5003111521</v>
      </c>
      <c r="C134" s="49">
        <v>438898.94099554146</v>
      </c>
    </row>
    <row r="135" spans="1:3">
      <c r="A135">
        <f t="shared" si="2"/>
        <v>134</v>
      </c>
      <c r="B135" s="49">
        <v>3035113.7349350671</v>
      </c>
      <c r="C135" s="49">
        <v>432131.91407357965</v>
      </c>
    </row>
    <row r="136" spans="1:3">
      <c r="A136">
        <f t="shared" si="2"/>
        <v>135</v>
      </c>
      <c r="B136" s="49">
        <v>3083437.8839238011</v>
      </c>
      <c r="C136" s="49">
        <v>439012.18572802068</v>
      </c>
    </row>
    <row r="137" spans="1:3">
      <c r="A137">
        <f t="shared" si="2"/>
        <v>136</v>
      </c>
      <c r="B137" s="49">
        <v>3066918.0208773264</v>
      </c>
      <c r="C137" s="49">
        <v>436660.12888206553</v>
      </c>
    </row>
    <row r="138" spans="1:3">
      <c r="A138">
        <f t="shared" si="2"/>
        <v>137</v>
      </c>
      <c r="B138" s="49">
        <v>3024533.2988265031</v>
      </c>
      <c r="C138" s="49">
        <v>430625.49800267589</v>
      </c>
    </row>
    <row r="139" spans="1:3">
      <c r="A139">
        <f t="shared" si="2"/>
        <v>138</v>
      </c>
      <c r="B139" s="49">
        <v>3043883.4526756117</v>
      </c>
      <c r="C139" s="49">
        <v>433380.52458510228</v>
      </c>
    </row>
    <row r="140" spans="1:3">
      <c r="A140">
        <f t="shared" si="2"/>
        <v>139</v>
      </c>
      <c r="B140" s="49">
        <v>3074051.4820220256</v>
      </c>
      <c r="C140" s="49">
        <v>437675.7732656505</v>
      </c>
    </row>
    <row r="141" spans="1:3">
      <c r="A141">
        <f t="shared" si="2"/>
        <v>140</v>
      </c>
      <c r="B141" s="49">
        <v>3062825.4790764907</v>
      </c>
      <c r="C141" s="49">
        <v>436077.44300065527</v>
      </c>
    </row>
    <row r="142" spans="1:3">
      <c r="A142">
        <f t="shared" si="2"/>
        <v>141</v>
      </c>
      <c r="B142" s="49">
        <v>3054231.4811255587</v>
      </c>
      <c r="C142" s="49">
        <v>434853.85103395744</v>
      </c>
    </row>
    <row r="143" spans="1:3">
      <c r="A143">
        <f t="shared" si="2"/>
        <v>142</v>
      </c>
      <c r="B143" s="49">
        <v>3020012.7527907961</v>
      </c>
      <c r="C143" s="49">
        <v>429981.87394714786</v>
      </c>
    </row>
    <row r="144" spans="1:3">
      <c r="A144">
        <f t="shared" si="2"/>
        <v>143</v>
      </c>
      <c r="B144" s="49">
        <v>3056812.0904380488</v>
      </c>
      <c r="C144" s="49">
        <v>435221.27174338471</v>
      </c>
    </row>
    <row r="145" spans="1:3">
      <c r="A145">
        <f t="shared" si="2"/>
        <v>144</v>
      </c>
      <c r="B145" s="49">
        <v>3085742.1333616092</v>
      </c>
      <c r="C145" s="49">
        <v>439340.25900863681</v>
      </c>
    </row>
    <row r="146" spans="1:3">
      <c r="A146">
        <f t="shared" si="2"/>
        <v>145</v>
      </c>
      <c r="B146" s="49">
        <v>3021683.0555042517</v>
      </c>
      <c r="C146" s="49">
        <v>430219.68747628835</v>
      </c>
    </row>
    <row r="147" spans="1:3">
      <c r="A147">
        <f t="shared" si="2"/>
        <v>146</v>
      </c>
      <c r="B147" s="49">
        <v>3023748.7836308153</v>
      </c>
      <c r="C147" s="49">
        <v>430513.80068826216</v>
      </c>
    </row>
    <row r="148" spans="1:3">
      <c r="A148">
        <f t="shared" si="2"/>
        <v>147</v>
      </c>
      <c r="B148" s="49">
        <v>3062882.2666808008</v>
      </c>
      <c r="C148" s="49">
        <v>436085.52827794279</v>
      </c>
    </row>
    <row r="149" spans="1:3">
      <c r="A149">
        <f t="shared" si="2"/>
        <v>148</v>
      </c>
      <c r="B149" s="49">
        <v>3083177.9950072141</v>
      </c>
      <c r="C149" s="49">
        <v>438975.1833930905</v>
      </c>
    </row>
    <row r="150" spans="1:3">
      <c r="A150">
        <f t="shared" si="2"/>
        <v>149</v>
      </c>
      <c r="B150" s="49">
        <v>3092717.9657770772</v>
      </c>
      <c r="C150" s="49">
        <v>440333.46060739574</v>
      </c>
    </row>
    <row r="151" spans="1:3">
      <c r="A151">
        <f t="shared" si="2"/>
        <v>150</v>
      </c>
      <c r="B151" s="49">
        <v>3061507.8792823344</v>
      </c>
      <c r="C151" s="49">
        <v>435889.84643236914</v>
      </c>
    </row>
    <row r="152" spans="1:3">
      <c r="A152">
        <f t="shared" si="2"/>
        <v>151</v>
      </c>
      <c r="B152" s="49">
        <v>3067712.1721600103</v>
      </c>
      <c r="C152" s="49">
        <v>436773.1981584818</v>
      </c>
    </row>
    <row r="153" spans="1:3">
      <c r="A153">
        <f t="shared" si="2"/>
        <v>152</v>
      </c>
      <c r="B153" s="49">
        <v>3056343.3149963482</v>
      </c>
      <c r="C153" s="49">
        <v>435154.52866665547</v>
      </c>
    </row>
    <row r="154" spans="1:3">
      <c r="A154">
        <f t="shared" si="2"/>
        <v>153</v>
      </c>
      <c r="B154" s="49">
        <v>3042673.4935770342</v>
      </c>
      <c r="C154" s="49">
        <v>433208.25363024452</v>
      </c>
    </row>
    <row r="155" spans="1:3">
      <c r="A155">
        <f t="shared" si="2"/>
        <v>154</v>
      </c>
      <c r="B155" s="49">
        <v>3038254.0955490968</v>
      </c>
      <c r="C155" s="49">
        <v>432579.03077546856</v>
      </c>
    </row>
    <row r="156" spans="1:3">
      <c r="A156">
        <f t="shared" si="2"/>
        <v>155</v>
      </c>
      <c r="B156" s="49">
        <v>3034204.4789269106</v>
      </c>
      <c r="C156" s="49">
        <v>432002.45647379843</v>
      </c>
    </row>
    <row r="157" spans="1:3">
      <c r="A157">
        <f t="shared" si="2"/>
        <v>156</v>
      </c>
      <c r="B157" s="49">
        <v>3041893.7956812545</v>
      </c>
      <c r="C157" s="49">
        <v>433097.24219096167</v>
      </c>
    </row>
    <row r="158" spans="1:3">
      <c r="A158">
        <f t="shared" si="2"/>
        <v>157</v>
      </c>
      <c r="B158" s="49">
        <v>3070574.4655040698</v>
      </c>
      <c r="C158" s="49">
        <v>437180.72433688224</v>
      </c>
    </row>
    <row r="159" spans="1:3">
      <c r="A159">
        <f t="shared" si="2"/>
        <v>158</v>
      </c>
      <c r="B159" s="49">
        <v>3013083.408350524</v>
      </c>
      <c r="C159" s="49">
        <v>428995.29119020415</v>
      </c>
    </row>
    <row r="160" spans="1:3">
      <c r="A160">
        <f t="shared" si="2"/>
        <v>159</v>
      </c>
      <c r="B160" s="49">
        <v>3064239.084342266</v>
      </c>
      <c r="C160" s="49">
        <v>436278.70858823857</v>
      </c>
    </row>
    <row r="161" spans="1:3">
      <c r="A161">
        <f t="shared" si="2"/>
        <v>160</v>
      </c>
      <c r="B161" s="49">
        <v>3064152.4369563037</v>
      </c>
      <c r="C161" s="49">
        <v>436266.37194980739</v>
      </c>
    </row>
    <row r="162" spans="1:3">
      <c r="A162">
        <f t="shared" si="2"/>
        <v>161</v>
      </c>
      <c r="B162" s="49">
        <v>3088349.6807363345</v>
      </c>
      <c r="C162" s="49">
        <v>439711.51509209344</v>
      </c>
    </row>
    <row r="163" spans="1:3">
      <c r="A163">
        <f t="shared" si="2"/>
        <v>162</v>
      </c>
      <c r="B163" s="49">
        <v>3086811.8386612348</v>
      </c>
      <c r="C163" s="49">
        <v>439492.56097785168</v>
      </c>
    </row>
    <row r="164" spans="1:3">
      <c r="A164">
        <f t="shared" si="2"/>
        <v>163</v>
      </c>
      <c r="B164" s="49">
        <v>3062402.0478135585</v>
      </c>
      <c r="C164" s="49">
        <v>436017.15591486223</v>
      </c>
    </row>
    <row r="165" spans="1:3">
      <c r="A165">
        <f t="shared" si="2"/>
        <v>164</v>
      </c>
      <c r="B165" s="49">
        <v>3083861.3151867329</v>
      </c>
      <c r="C165" s="49">
        <v>439072.47281381366</v>
      </c>
    </row>
    <row r="166" spans="1:3">
      <c r="A166">
        <f t="shared" si="2"/>
        <v>165</v>
      </c>
      <c r="B166" s="49">
        <v>3058412.9869923173</v>
      </c>
      <c r="C166" s="49">
        <v>435449.20339690632</v>
      </c>
    </row>
    <row r="167" spans="1:3">
      <c r="A167">
        <f t="shared" si="2"/>
        <v>166</v>
      </c>
      <c r="B167" s="49">
        <v>3083644.9486865723</v>
      </c>
      <c r="C167" s="49">
        <v>439041.66709184693</v>
      </c>
    </row>
    <row r="168" spans="1:3">
      <c r="A168">
        <f t="shared" si="2"/>
        <v>167</v>
      </c>
      <c r="B168" s="49">
        <v>3097175.8430797001</v>
      </c>
      <c r="C168" s="49">
        <v>440968.16204520816</v>
      </c>
    </row>
    <row r="169" spans="1:3">
      <c r="A169">
        <f t="shared" si="2"/>
        <v>168</v>
      </c>
      <c r="B169" s="49">
        <v>3023697.8951627715</v>
      </c>
      <c r="C169" s="49">
        <v>430506.5553152645</v>
      </c>
    </row>
    <row r="170" spans="1:3">
      <c r="A170">
        <f t="shared" si="2"/>
        <v>169</v>
      </c>
      <c r="B170" s="49">
        <v>3038681.1616400466</v>
      </c>
      <c r="C170" s="49">
        <v>432639.83537899755</v>
      </c>
    </row>
    <row r="171" spans="1:3">
      <c r="A171">
        <f t="shared" si="2"/>
        <v>170</v>
      </c>
      <c r="B171" s="49">
        <v>3087994.5014455784</v>
      </c>
      <c r="C171" s="49">
        <v>439660.94555165514</v>
      </c>
    </row>
    <row r="172" spans="1:3">
      <c r="A172">
        <f t="shared" si="2"/>
        <v>171</v>
      </c>
      <c r="B172" s="49">
        <v>3032572.2961115106</v>
      </c>
      <c r="C172" s="49">
        <v>431770.07036054728</v>
      </c>
    </row>
    <row r="173" spans="1:3">
      <c r="A173">
        <f t="shared" si="2"/>
        <v>172</v>
      </c>
      <c r="B173" s="49">
        <v>3075010.3780338457</v>
      </c>
      <c r="C173" s="49">
        <v>437812.29848518869</v>
      </c>
    </row>
    <row r="174" spans="1:3">
      <c r="A174">
        <f t="shared" si="2"/>
        <v>173</v>
      </c>
      <c r="B174" s="49">
        <v>3082642.5003111521</v>
      </c>
      <c r="C174" s="49">
        <v>438898.94099554146</v>
      </c>
    </row>
    <row r="175" spans="1:3">
      <c r="A175">
        <f t="shared" si="2"/>
        <v>174</v>
      </c>
      <c r="B175" s="49">
        <v>3077980.7619830845</v>
      </c>
      <c r="C175" s="49">
        <v>438235.21433402278</v>
      </c>
    </row>
    <row r="176" spans="1:3">
      <c r="A176">
        <f t="shared" si="2"/>
        <v>175</v>
      </c>
      <c r="B176" s="49">
        <v>3078178.9248962407</v>
      </c>
      <c r="C176" s="49">
        <v>438263.42827473115</v>
      </c>
    </row>
    <row r="177" spans="1:3">
      <c r="A177">
        <f t="shared" si="2"/>
        <v>176</v>
      </c>
      <c r="B177" s="49">
        <v>3073569.4832206471</v>
      </c>
      <c r="C177" s="49">
        <v>437607.14747999265</v>
      </c>
    </row>
    <row r="178" spans="1:3">
      <c r="A178">
        <f t="shared" si="2"/>
        <v>177</v>
      </c>
      <c r="B178" s="49">
        <v>3088677.8216250977</v>
      </c>
      <c r="C178" s="49">
        <v>439758.2349723783</v>
      </c>
    </row>
    <row r="179" spans="1:3">
      <c r="A179">
        <f t="shared" si="2"/>
        <v>178</v>
      </c>
      <c r="B179" s="49">
        <v>3082823.9911617292</v>
      </c>
      <c r="C179" s="49">
        <v>438924.78120961454</v>
      </c>
    </row>
    <row r="180" spans="1:3">
      <c r="A180">
        <f t="shared" si="2"/>
        <v>179</v>
      </c>
      <c r="B180" s="49">
        <v>3096820.663788944</v>
      </c>
      <c r="C180" s="49">
        <v>440917.5925047698</v>
      </c>
    </row>
    <row r="181" spans="1:3">
      <c r="A181">
        <f t="shared" si="2"/>
        <v>180</v>
      </c>
      <c r="B181" s="49">
        <v>3080115.6146292938</v>
      </c>
      <c r="C181" s="49">
        <v>438539.16932248097</v>
      </c>
    </row>
    <row r="182" spans="1:3">
      <c r="A182">
        <f t="shared" si="2"/>
        <v>181</v>
      </c>
      <c r="B182" s="49">
        <v>3073117.7672786186</v>
      </c>
      <c r="C182" s="49">
        <v>437542.8332922245</v>
      </c>
    </row>
    <row r="183" spans="1:3">
      <c r="A183">
        <f t="shared" si="2"/>
        <v>182</v>
      </c>
      <c r="B183" s="49">
        <v>3102970.2968033231</v>
      </c>
      <c r="C183" s="49">
        <v>441793.16189604683</v>
      </c>
    </row>
    <row r="184" spans="1:3">
      <c r="A184">
        <f t="shared" si="2"/>
        <v>183</v>
      </c>
      <c r="B184" s="49">
        <v>3098074.6699758214</v>
      </c>
      <c r="C184" s="49">
        <v>441096.13477406208</v>
      </c>
    </row>
    <row r="185" spans="1:3">
      <c r="A185">
        <f t="shared" si="2"/>
        <v>184</v>
      </c>
      <c r="B185" s="49">
        <v>3027535.7411070974</v>
      </c>
      <c r="C185" s="49">
        <v>431052.97823666991</v>
      </c>
    </row>
    <row r="186" spans="1:3">
      <c r="A186">
        <f t="shared" si="2"/>
        <v>185</v>
      </c>
      <c r="B186" s="49">
        <v>3032429.6702093696</v>
      </c>
      <c r="C186" s="49">
        <v>431749.76364077628</v>
      </c>
    </row>
    <row r="187" spans="1:3">
      <c r="A187">
        <f t="shared" si="2"/>
        <v>186</v>
      </c>
      <c r="B187" s="49">
        <v>3086630.3478106577</v>
      </c>
      <c r="C187" s="49">
        <v>439466.72076377866</v>
      </c>
    </row>
    <row r="188" spans="1:3">
      <c r="A188">
        <f t="shared" si="2"/>
        <v>187</v>
      </c>
      <c r="B188" s="49">
        <v>3058063.831018141</v>
      </c>
      <c r="C188" s="49">
        <v>435399.49144124077</v>
      </c>
    </row>
    <row r="189" spans="1:3">
      <c r="A189">
        <f t="shared" si="2"/>
        <v>188</v>
      </c>
      <c r="B189" s="49">
        <v>3067237.2140749698</v>
      </c>
      <c r="C189" s="49">
        <v>436705.57481243357</v>
      </c>
    </row>
    <row r="190" spans="1:3">
      <c r="A190">
        <f t="shared" si="2"/>
        <v>189</v>
      </c>
      <c r="B190" s="49">
        <v>3093798.2835237756</v>
      </c>
      <c r="C190" s="49">
        <v>440487.27355032269</v>
      </c>
    </row>
    <row r="191" spans="1:3">
      <c r="A191">
        <f t="shared" si="2"/>
        <v>190</v>
      </c>
      <c r="B191" s="49">
        <v>3078577.855069011</v>
      </c>
      <c r="C191" s="49">
        <v>438320.22695649276</v>
      </c>
    </row>
    <row r="192" spans="1:3">
      <c r="A192">
        <f t="shared" si="2"/>
        <v>191</v>
      </c>
      <c r="B192" s="49">
        <v>3091870.2855119538</v>
      </c>
      <c r="C192" s="49">
        <v>440212.77000813617</v>
      </c>
    </row>
    <row r="193" spans="1:3">
      <c r="A193">
        <f t="shared" si="2"/>
        <v>192</v>
      </c>
      <c r="B193" s="49">
        <v>3053290.3572389381</v>
      </c>
      <c r="C193" s="49">
        <v>434719.85616522335</v>
      </c>
    </row>
    <row r="194" spans="1:3">
      <c r="A194">
        <f t="shared" si="2"/>
        <v>193</v>
      </c>
      <c r="B194" s="49">
        <v>3060555.6686661094</v>
      </c>
      <c r="C194" s="49">
        <v>435754.27306276059</v>
      </c>
    </row>
    <row r="195" spans="1:3">
      <c r="A195">
        <f t="shared" si="2"/>
        <v>194</v>
      </c>
      <c r="B195" s="49">
        <v>3082202.3969856412</v>
      </c>
      <c r="C195" s="49">
        <v>438836.28018311324</v>
      </c>
    </row>
    <row r="196" spans="1:3">
      <c r="A196">
        <f t="shared" si="2"/>
        <v>195</v>
      </c>
      <c r="B196" s="49">
        <v>3041985.2604221902</v>
      </c>
      <c r="C196" s="49">
        <v>433110.26471236366</v>
      </c>
    </row>
    <row r="197" spans="1:3">
      <c r="A197">
        <f t="shared" ref="A197:A260" si="3">A196+1</f>
        <v>196</v>
      </c>
      <c r="B197" s="49">
        <v>3067988.0024491614</v>
      </c>
      <c r="C197" s="49">
        <v>436812.4701862277</v>
      </c>
    </row>
    <row r="198" spans="1:3">
      <c r="A198">
        <f t="shared" si="3"/>
        <v>197</v>
      </c>
      <c r="B198" s="49">
        <v>3092359.3366413359</v>
      </c>
      <c r="C198" s="49">
        <v>440282.39988664363</v>
      </c>
    </row>
    <row r="199" spans="1:3">
      <c r="A199">
        <f t="shared" si="3"/>
        <v>198</v>
      </c>
      <c r="B199" s="49">
        <v>3070052.8659598576</v>
      </c>
      <c r="C199" s="49">
        <v>437106.4602963535</v>
      </c>
    </row>
    <row r="200" spans="1:3">
      <c r="A200">
        <f t="shared" si="3"/>
        <v>199</v>
      </c>
      <c r="B200" s="49">
        <v>2993824.3923648307</v>
      </c>
      <c r="C200" s="49">
        <v>426253.24058917473</v>
      </c>
    </row>
    <row r="201" spans="1:3">
      <c r="A201">
        <f t="shared" si="3"/>
        <v>200</v>
      </c>
      <c r="B201" s="49">
        <v>3079647.8330934793</v>
      </c>
      <c r="C201" s="49">
        <v>438472.56775558973</v>
      </c>
    </row>
    <row r="202" spans="1:3">
      <c r="A202">
        <f t="shared" si="3"/>
        <v>201</v>
      </c>
      <c r="B202" s="49">
        <v>3052870.7633884852</v>
      </c>
      <c r="C202" s="49">
        <v>434660.11544063606</v>
      </c>
    </row>
    <row r="203" spans="1:3">
      <c r="A203">
        <f t="shared" si="3"/>
        <v>202</v>
      </c>
      <c r="B203" s="49">
        <v>3072645.7553465879</v>
      </c>
      <c r="C203" s="49">
        <v>437475.62941208441</v>
      </c>
    </row>
    <row r="204" spans="1:3">
      <c r="A204">
        <f t="shared" si="3"/>
        <v>203</v>
      </c>
      <c r="B204" s="49">
        <v>3083437.8839238011</v>
      </c>
      <c r="C204" s="49">
        <v>439012.18572802068</v>
      </c>
    </row>
    <row r="205" spans="1:3">
      <c r="A205">
        <f t="shared" si="3"/>
        <v>204</v>
      </c>
      <c r="B205" s="49">
        <v>3076249.7955508349</v>
      </c>
      <c r="C205" s="49">
        <v>437988.7636560942</v>
      </c>
    </row>
    <row r="206" spans="1:3">
      <c r="A206">
        <f t="shared" si="3"/>
        <v>205</v>
      </c>
      <c r="B206" s="49">
        <v>3082931.1402600748</v>
      </c>
      <c r="C206" s="49">
        <v>438940.03683065641</v>
      </c>
    </row>
    <row r="207" spans="1:3">
      <c r="A207">
        <f t="shared" si="3"/>
        <v>206</v>
      </c>
      <c r="B207" s="49">
        <v>3082868.5864001871</v>
      </c>
      <c r="C207" s="49">
        <v>438931.13056829968</v>
      </c>
    </row>
    <row r="208" spans="1:3">
      <c r="A208">
        <f t="shared" si="3"/>
        <v>207</v>
      </c>
      <c r="B208" s="49">
        <v>3083437.8839238011</v>
      </c>
      <c r="C208" s="49">
        <v>439012.18572802068</v>
      </c>
    </row>
    <row r="209" spans="1:3">
      <c r="A209">
        <f t="shared" si="3"/>
        <v>208</v>
      </c>
      <c r="B209" s="49">
        <v>3070561.2684585089</v>
      </c>
      <c r="C209" s="49">
        <v>437178.84537449188</v>
      </c>
    </row>
    <row r="210" spans="1:3">
      <c r="A210">
        <f t="shared" si="3"/>
        <v>209</v>
      </c>
      <c r="B210" s="49">
        <v>3078602.3561591725</v>
      </c>
      <c r="C210" s="49">
        <v>438323.71536052407</v>
      </c>
    </row>
    <row r="211" spans="1:3">
      <c r="A211">
        <f t="shared" si="3"/>
        <v>210</v>
      </c>
      <c r="B211" s="49">
        <v>3066481.9237032337</v>
      </c>
      <c r="C211" s="49">
        <v>436598.0384554718</v>
      </c>
    </row>
    <row r="212" spans="1:3">
      <c r="A212">
        <f t="shared" si="3"/>
        <v>211</v>
      </c>
      <c r="B212" s="49">
        <v>3052487.248364029</v>
      </c>
      <c r="C212" s="49">
        <v>434605.51152919559</v>
      </c>
    </row>
    <row r="213" spans="1:3">
      <c r="A213">
        <f t="shared" si="3"/>
        <v>212</v>
      </c>
      <c r="B213" s="49">
        <v>3044977.7166761034</v>
      </c>
      <c r="C213" s="49">
        <v>433536.32316081674</v>
      </c>
    </row>
    <row r="214" spans="1:3">
      <c r="A214">
        <f t="shared" si="3"/>
        <v>213</v>
      </c>
      <c r="B214" s="49">
        <v>3083722.8180578509</v>
      </c>
      <c r="C214" s="49">
        <v>439052.75393846852</v>
      </c>
    </row>
    <row r="215" spans="1:3">
      <c r="A215">
        <f t="shared" si="3"/>
        <v>214</v>
      </c>
      <c r="B215" s="49">
        <v>3074553.2341515236</v>
      </c>
      <c r="C215" s="49">
        <v>437747.21148083656</v>
      </c>
    </row>
    <row r="216" spans="1:3">
      <c r="A216">
        <f t="shared" si="3"/>
        <v>215</v>
      </c>
      <c r="B216" s="49">
        <v>3088981.7770854109</v>
      </c>
      <c r="C216" s="49">
        <v>439801.51139175805</v>
      </c>
    </row>
    <row r="217" spans="1:3">
      <c r="A217">
        <f t="shared" si="3"/>
        <v>216</v>
      </c>
      <c r="B217" s="49">
        <v>3097746.2134253462</v>
      </c>
      <c r="C217" s="49">
        <v>441049.36995065102</v>
      </c>
    </row>
    <row r="218" spans="1:3">
      <c r="A218">
        <f t="shared" si="3"/>
        <v>217</v>
      </c>
      <c r="B218" s="49">
        <v>3070446.0134726386</v>
      </c>
      <c r="C218" s="49">
        <v>437162.43565742671</v>
      </c>
    </row>
    <row r="219" spans="1:3">
      <c r="A219">
        <f t="shared" si="3"/>
        <v>218</v>
      </c>
      <c r="B219" s="49">
        <v>3028374.6489305636</v>
      </c>
      <c r="C219" s="49">
        <v>431172.41983759351</v>
      </c>
    </row>
    <row r="220" spans="1:3">
      <c r="A220">
        <f t="shared" si="3"/>
        <v>219</v>
      </c>
      <c r="B220" s="49">
        <v>3066156.8963282714</v>
      </c>
      <c r="C220" s="49">
        <v>436551.76186950662</v>
      </c>
    </row>
    <row r="221" spans="1:3">
      <c r="A221">
        <f t="shared" si="3"/>
        <v>220</v>
      </c>
      <c r="B221" s="49">
        <v>3056580.9841647167</v>
      </c>
      <c r="C221" s="49">
        <v>435188.36740932311</v>
      </c>
    </row>
    <row r="222" spans="1:3">
      <c r="A222">
        <f t="shared" si="3"/>
        <v>221</v>
      </c>
      <c r="B222" s="49">
        <v>2987863.6243264633</v>
      </c>
      <c r="C222" s="49">
        <v>425404.56132153486</v>
      </c>
    </row>
    <row r="223" spans="1:3">
      <c r="A223">
        <f t="shared" si="3"/>
        <v>222</v>
      </c>
      <c r="B223" s="49">
        <v>3013529.2077882127</v>
      </c>
      <c r="C223" s="49">
        <v>429058.76300085953</v>
      </c>
    </row>
    <row r="224" spans="1:3">
      <c r="A224">
        <f t="shared" si="3"/>
        <v>223</v>
      </c>
      <c r="B224" s="49">
        <v>3049750.1252374239</v>
      </c>
      <c r="C224" s="49">
        <v>434215.80677377223</v>
      </c>
    </row>
    <row r="225" spans="1:3">
      <c r="A225">
        <f t="shared" si="3"/>
        <v>224</v>
      </c>
      <c r="B225" s="49">
        <v>3050281.6153576202</v>
      </c>
      <c r="C225" s="49">
        <v>434291.47900981002</v>
      </c>
    </row>
    <row r="226" spans="1:3">
      <c r="A226">
        <f t="shared" si="3"/>
        <v>225</v>
      </c>
      <c r="B226" s="49">
        <v>3033304.8174143299</v>
      </c>
      <c r="C226" s="49">
        <v>431874.36491433729</v>
      </c>
    </row>
    <row r="227" spans="1:3">
      <c r="A227">
        <f t="shared" si="3"/>
        <v>226</v>
      </c>
      <c r="B227" s="49">
        <v>3064492.5153496936</v>
      </c>
      <c r="C227" s="49">
        <v>436314.79146218981</v>
      </c>
    </row>
    <row r="228" spans="1:3">
      <c r="A228">
        <f t="shared" si="3"/>
        <v>227</v>
      </c>
      <c r="B228" s="49">
        <v>3032145.4453038387</v>
      </c>
      <c r="C228" s="49">
        <v>431709.29640851385</v>
      </c>
    </row>
    <row r="229" spans="1:3">
      <c r="A229">
        <f t="shared" si="3"/>
        <v>228</v>
      </c>
      <c r="B229" s="49">
        <v>3088363.7877278142</v>
      </c>
      <c r="C229" s="49">
        <v>439713.52361031133</v>
      </c>
    </row>
    <row r="230" spans="1:3">
      <c r="A230">
        <f t="shared" si="3"/>
        <v>229</v>
      </c>
      <c r="B230" s="49">
        <v>3037299.4847093537</v>
      </c>
      <c r="C230" s="49">
        <v>432443.11566802952</v>
      </c>
    </row>
    <row r="231" spans="1:3">
      <c r="A231">
        <f t="shared" si="3"/>
        <v>230</v>
      </c>
      <c r="B231" s="49">
        <v>3060588.1021887241</v>
      </c>
      <c r="C231" s="49">
        <v>435758.89086671511</v>
      </c>
    </row>
    <row r="232" spans="1:3">
      <c r="A232">
        <f t="shared" si="3"/>
        <v>231</v>
      </c>
      <c r="B232" s="49">
        <v>3053215.791844652</v>
      </c>
      <c r="C232" s="49">
        <v>434709.23973059503</v>
      </c>
    </row>
    <row r="233" spans="1:3">
      <c r="A233">
        <f t="shared" si="3"/>
        <v>232</v>
      </c>
      <c r="B233" s="49">
        <v>3049799.0257546385</v>
      </c>
      <c r="C233" s="49">
        <v>434222.76910729532</v>
      </c>
    </row>
    <row r="234" spans="1:3">
      <c r="A234">
        <f t="shared" si="3"/>
        <v>233</v>
      </c>
      <c r="B234" s="49">
        <v>3071242.0263413233</v>
      </c>
      <c r="C234" s="49">
        <v>437275.7699818089</v>
      </c>
    </row>
    <row r="235" spans="1:3">
      <c r="A235">
        <f t="shared" si="3"/>
        <v>234</v>
      </c>
      <c r="B235" s="49">
        <v>3056649.7623989838</v>
      </c>
      <c r="C235" s="49">
        <v>435198.15988256008</v>
      </c>
    </row>
    <row r="236" spans="1:3">
      <c r="A236">
        <f t="shared" si="3"/>
        <v>235</v>
      </c>
      <c r="B236" s="49">
        <v>3063341.5989081105</v>
      </c>
      <c r="C236" s="49">
        <v>436150.9268533893</v>
      </c>
    </row>
    <row r="237" spans="1:3">
      <c r="A237">
        <f t="shared" si="3"/>
        <v>236</v>
      </c>
      <c r="B237" s="49">
        <v>3047068.2439535423</v>
      </c>
      <c r="C237" s="49">
        <v>433833.96721396194</v>
      </c>
    </row>
    <row r="238" spans="1:3">
      <c r="A238">
        <f t="shared" si="3"/>
        <v>237</v>
      </c>
      <c r="B238" s="49">
        <v>3032376.7056653313</v>
      </c>
      <c r="C238" s="49">
        <v>431742.222681263</v>
      </c>
    </row>
    <row r="239" spans="1:3">
      <c r="A239">
        <f t="shared" si="3"/>
        <v>238</v>
      </c>
      <c r="B239" s="49">
        <v>3059119.9639055538</v>
      </c>
      <c r="C239" s="49">
        <v>435549.86100429884</v>
      </c>
    </row>
    <row r="240" spans="1:3">
      <c r="A240">
        <f t="shared" si="3"/>
        <v>239</v>
      </c>
      <c r="B240" s="49">
        <v>3035317.6686581597</v>
      </c>
      <c r="C240" s="49">
        <v>432160.94964779547</v>
      </c>
    </row>
    <row r="241" spans="1:3">
      <c r="A241">
        <f t="shared" si="3"/>
        <v>240</v>
      </c>
      <c r="B241" s="49">
        <v>3056197.4487356655</v>
      </c>
      <c r="C241" s="49">
        <v>435133.76059272734</v>
      </c>
    </row>
    <row r="242" spans="1:3">
      <c r="A242">
        <f t="shared" si="3"/>
        <v>241</v>
      </c>
      <c r="B242" s="49">
        <v>3057214.8418897833</v>
      </c>
      <c r="C242" s="49">
        <v>435278.6144893025</v>
      </c>
    </row>
    <row r="243" spans="1:3">
      <c r="A243">
        <f t="shared" si="3"/>
        <v>242</v>
      </c>
      <c r="B243" s="49">
        <v>3012835.32170378</v>
      </c>
      <c r="C243" s="49">
        <v>428959.96923298074</v>
      </c>
    </row>
    <row r="244" spans="1:3">
      <c r="A244">
        <f t="shared" si="3"/>
        <v>243</v>
      </c>
      <c r="B244" s="49">
        <v>3087217.0663371617</v>
      </c>
      <c r="C244" s="49">
        <v>439550.25628238614</v>
      </c>
    </row>
    <row r="245" spans="1:3">
      <c r="A245">
        <f t="shared" si="3"/>
        <v>244</v>
      </c>
      <c r="B245" s="49">
        <v>3063009.5189845636</v>
      </c>
      <c r="C245" s="49">
        <v>436103.64614316885</v>
      </c>
    </row>
    <row r="246" spans="1:3">
      <c r="A246">
        <f t="shared" si="3"/>
        <v>245</v>
      </c>
      <c r="B246" s="49">
        <v>3034970.3978501996</v>
      </c>
      <c r="C246" s="49">
        <v>432111.50609738799</v>
      </c>
    </row>
    <row r="247" spans="1:3">
      <c r="A247">
        <f t="shared" si="3"/>
        <v>246</v>
      </c>
      <c r="B247" s="49">
        <v>3075653.4456780907</v>
      </c>
      <c r="C247" s="49">
        <v>437903.85685046104</v>
      </c>
    </row>
    <row r="248" spans="1:3">
      <c r="A248">
        <f t="shared" si="3"/>
        <v>247</v>
      </c>
      <c r="B248" s="49">
        <v>3068992.6689273342</v>
      </c>
      <c r="C248" s="49">
        <v>436955.51209046389</v>
      </c>
    </row>
    <row r="249" spans="1:3">
      <c r="A249">
        <f t="shared" si="3"/>
        <v>248</v>
      </c>
      <c r="B249" s="49">
        <v>3069029.8635403579</v>
      </c>
      <c r="C249" s="49">
        <v>436960.80776658113</v>
      </c>
    </row>
    <row r="250" spans="1:3">
      <c r="A250">
        <f t="shared" si="3"/>
        <v>249</v>
      </c>
      <c r="B250" s="49">
        <v>3081847.2176948851</v>
      </c>
      <c r="C250" s="49">
        <v>438785.71064267488</v>
      </c>
    </row>
    <row r="251" spans="1:3">
      <c r="A251">
        <f t="shared" si="3"/>
        <v>250</v>
      </c>
      <c r="B251" s="49">
        <v>3055493.2003388046</v>
      </c>
      <c r="C251" s="49">
        <v>435033.49146468251</v>
      </c>
    </row>
    <row r="252" spans="1:3">
      <c r="A252">
        <f t="shared" si="3"/>
        <v>251</v>
      </c>
      <c r="B252" s="49">
        <v>3048027.4138495331</v>
      </c>
      <c r="C252" s="49">
        <v>433970.53142844432</v>
      </c>
    </row>
    <row r="253" spans="1:3">
      <c r="A253">
        <f t="shared" si="3"/>
        <v>252</v>
      </c>
      <c r="B253" s="49">
        <v>3060966.1429590373</v>
      </c>
      <c r="C253" s="49">
        <v>435812.71536752145</v>
      </c>
    </row>
    <row r="254" spans="1:3">
      <c r="A254">
        <f t="shared" si="3"/>
        <v>253</v>
      </c>
      <c r="B254" s="49">
        <v>3090065.6996506006</v>
      </c>
      <c r="C254" s="49">
        <v>439955.83757973957</v>
      </c>
    </row>
    <row r="255" spans="1:3">
      <c r="A255">
        <f t="shared" si="3"/>
        <v>254</v>
      </c>
      <c r="B255" s="49">
        <v>3050523.9263348021</v>
      </c>
      <c r="C255" s="49">
        <v>434325.97864162462</v>
      </c>
    </row>
    <row r="256" spans="1:3">
      <c r="A256">
        <f t="shared" si="3"/>
        <v>255</v>
      </c>
      <c r="B256" s="49">
        <v>3048425.2255624542</v>
      </c>
      <c r="C256" s="49">
        <v>434027.1708666858</v>
      </c>
    </row>
    <row r="257" spans="1:3">
      <c r="A257">
        <f t="shared" si="3"/>
        <v>256</v>
      </c>
      <c r="B257" s="49">
        <v>3102382.5054547866</v>
      </c>
      <c r="C257" s="49">
        <v>441709.4736317175</v>
      </c>
    </row>
    <row r="258" spans="1:3">
      <c r="A258">
        <f t="shared" si="3"/>
        <v>257</v>
      </c>
      <c r="B258" s="49">
        <v>3070022.9394822507</v>
      </c>
      <c r="C258" s="49">
        <v>437102.19943920639</v>
      </c>
    </row>
    <row r="259" spans="1:3">
      <c r="A259">
        <f t="shared" si="3"/>
        <v>258</v>
      </c>
      <c r="B259" s="49">
        <v>3072379.4092602045</v>
      </c>
      <c r="C259" s="49">
        <v>437437.70772144396</v>
      </c>
    </row>
    <row r="260" spans="1:3">
      <c r="A260">
        <f t="shared" si="3"/>
        <v>259</v>
      </c>
      <c r="B260" s="49">
        <v>3075268.0607274277</v>
      </c>
      <c r="C260" s="49">
        <v>437848.98670359695</v>
      </c>
    </row>
    <row r="261" spans="1:3">
      <c r="A261">
        <f t="shared" ref="A261:A324" si="4">A260+1</f>
        <v>260</v>
      </c>
      <c r="B261" s="49">
        <v>3092977.3259989326</v>
      </c>
      <c r="C261" s="49">
        <v>440370.38766809029</v>
      </c>
    </row>
    <row r="262" spans="1:3">
      <c r="A262">
        <f t="shared" si="4"/>
        <v>261</v>
      </c>
      <c r="B262" s="49">
        <v>3077024.7240997041</v>
      </c>
      <c r="C262" s="49">
        <v>438099.09604767436</v>
      </c>
    </row>
    <row r="263" spans="1:3">
      <c r="A263">
        <f t="shared" si="4"/>
        <v>262</v>
      </c>
      <c r="B263" s="49">
        <v>3071863.6205174113</v>
      </c>
      <c r="C263" s="49">
        <v>437364.2710083102</v>
      </c>
    </row>
    <row r="264" spans="1:3">
      <c r="A264">
        <f t="shared" si="4"/>
        <v>263</v>
      </c>
      <c r="B264" s="49">
        <v>3071640.3538752417</v>
      </c>
      <c r="C264" s="49">
        <v>437332.48286135576</v>
      </c>
    </row>
    <row r="265" spans="1:3">
      <c r="A265">
        <f t="shared" si="4"/>
        <v>264</v>
      </c>
      <c r="B265" s="49">
        <v>3041425.3013703474</v>
      </c>
      <c r="C265" s="49">
        <v>433030.53914093273</v>
      </c>
    </row>
    <row r="266" spans="1:3">
      <c r="A266">
        <f t="shared" si="4"/>
        <v>265</v>
      </c>
      <c r="B266" s="49">
        <v>3036847.0079993154</v>
      </c>
      <c r="C266" s="49">
        <v>432378.69316401193</v>
      </c>
    </row>
    <row r="267" spans="1:3">
      <c r="A267">
        <f t="shared" si="4"/>
        <v>266</v>
      </c>
      <c r="B267" s="49">
        <v>3043860.7953289724</v>
      </c>
      <c r="C267" s="49">
        <v>433377.29868866934</v>
      </c>
    </row>
    <row r="268" spans="1:3">
      <c r="A268">
        <f t="shared" si="4"/>
        <v>267</v>
      </c>
      <c r="B268" s="49">
        <v>3057025.4597305954</v>
      </c>
      <c r="C268" s="49">
        <v>435251.65073041624</v>
      </c>
    </row>
    <row r="269" spans="1:3">
      <c r="A269">
        <f t="shared" si="4"/>
        <v>268</v>
      </c>
      <c r="B269" s="49">
        <v>3049522.43065501</v>
      </c>
      <c r="C269" s="49">
        <v>434183.38818774361</v>
      </c>
    </row>
    <row r="270" spans="1:3">
      <c r="A270">
        <f t="shared" si="4"/>
        <v>269</v>
      </c>
      <c r="B270" s="49">
        <v>3069816.6236597914</v>
      </c>
      <c r="C270" s="49">
        <v>437072.82470763155</v>
      </c>
    </row>
    <row r="271" spans="1:3">
      <c r="A271">
        <f t="shared" si="4"/>
        <v>270</v>
      </c>
      <c r="B271" s="49">
        <v>3051162.305470496</v>
      </c>
      <c r="C271" s="49">
        <v>434416.869468758</v>
      </c>
    </row>
    <row r="272" spans="1:3">
      <c r="A272">
        <f t="shared" si="4"/>
        <v>271</v>
      </c>
      <c r="B272" s="49">
        <v>3066338.3871788485</v>
      </c>
      <c r="C272" s="49">
        <v>436577.6020835797</v>
      </c>
    </row>
    <row r="273" spans="1:3">
      <c r="A273">
        <f t="shared" si="4"/>
        <v>272</v>
      </c>
      <c r="B273" s="49">
        <v>3094449.0552371591</v>
      </c>
      <c r="C273" s="49">
        <v>440579.9288017198</v>
      </c>
    </row>
    <row r="274" spans="1:3">
      <c r="A274">
        <f t="shared" si="4"/>
        <v>273</v>
      </c>
      <c r="B274" s="49">
        <v>3081657.5739350044</v>
      </c>
      <c r="C274" s="49">
        <v>438758.70963773527</v>
      </c>
    </row>
    <row r="275" spans="1:3">
      <c r="A275">
        <f t="shared" si="4"/>
        <v>274</v>
      </c>
      <c r="B275" s="49">
        <v>3033914.6246194034</v>
      </c>
      <c r="C275" s="49">
        <v>431961.18774134084</v>
      </c>
    </row>
    <row r="276" spans="1:3">
      <c r="A276">
        <f t="shared" si="4"/>
        <v>275</v>
      </c>
      <c r="B276" s="49">
        <v>3068814.1752843712</v>
      </c>
      <c r="C276" s="49">
        <v>436930.09861132607</v>
      </c>
    </row>
    <row r="277" spans="1:3">
      <c r="A277">
        <f t="shared" si="4"/>
        <v>276</v>
      </c>
      <c r="B277" s="49">
        <v>3054190.7256033611</v>
      </c>
      <c r="C277" s="49">
        <v>434848.04836448457</v>
      </c>
    </row>
    <row r="278" spans="1:3">
      <c r="A278">
        <f t="shared" si="4"/>
        <v>277</v>
      </c>
      <c r="B278" s="49">
        <v>3039159.8638207726</v>
      </c>
      <c r="C278" s="49">
        <v>432707.99180003942</v>
      </c>
    </row>
    <row r="279" spans="1:3">
      <c r="A279">
        <f t="shared" si="4"/>
        <v>278</v>
      </c>
      <c r="B279" s="49">
        <v>3061970.1160852439</v>
      </c>
      <c r="C279" s="49">
        <v>435955.65855403611</v>
      </c>
    </row>
    <row r="280" spans="1:3">
      <c r="A280">
        <f t="shared" si="4"/>
        <v>279</v>
      </c>
      <c r="B280" s="49">
        <v>3071814.6681765933</v>
      </c>
      <c r="C280" s="49">
        <v>437357.30129627185</v>
      </c>
    </row>
    <row r="281" spans="1:3">
      <c r="A281">
        <f t="shared" si="4"/>
        <v>280</v>
      </c>
      <c r="B281" s="49">
        <v>3070023.352040072</v>
      </c>
      <c r="C281" s="49">
        <v>437102.25817815878</v>
      </c>
    </row>
    <row r="282" spans="1:3">
      <c r="A282">
        <f t="shared" si="4"/>
        <v>281</v>
      </c>
      <c r="B282" s="49">
        <v>3051226.5681771296</v>
      </c>
      <c r="C282" s="49">
        <v>434426.01903244696</v>
      </c>
    </row>
    <row r="283" spans="1:3">
      <c r="A283">
        <f t="shared" si="4"/>
        <v>282</v>
      </c>
      <c r="B283" s="49">
        <v>3074210.5916934228</v>
      </c>
      <c r="C283" s="49">
        <v>437698.42690332379</v>
      </c>
    </row>
    <row r="284" spans="1:3">
      <c r="A284">
        <f t="shared" si="4"/>
        <v>283</v>
      </c>
      <c r="B284" s="49">
        <v>3079073.9862856641</v>
      </c>
      <c r="C284" s="49">
        <v>438390.86488014489</v>
      </c>
    </row>
    <row r="285" spans="1:3">
      <c r="A285">
        <f t="shared" si="4"/>
        <v>284</v>
      </c>
      <c r="B285" s="49">
        <v>3049939.9159200783</v>
      </c>
      <c r="C285" s="49">
        <v>434242.82869720954</v>
      </c>
    </row>
    <row r="286" spans="1:3">
      <c r="A286">
        <f t="shared" si="4"/>
        <v>285</v>
      </c>
      <c r="B286" s="49">
        <v>3024277.636597028</v>
      </c>
      <c r="C286" s="49">
        <v>430589.09745290148</v>
      </c>
    </row>
    <row r="287" spans="1:3">
      <c r="A287">
        <f t="shared" si="4"/>
        <v>286</v>
      </c>
      <c r="B287" s="49">
        <v>3060534.1135753794</v>
      </c>
      <c r="C287" s="49">
        <v>435751.20410277136</v>
      </c>
    </row>
    <row r="288" spans="1:3">
      <c r="A288">
        <f t="shared" si="4"/>
        <v>287</v>
      </c>
      <c r="B288" s="49">
        <v>3073569.4832206471</v>
      </c>
      <c r="C288" s="49">
        <v>437607.14747999265</v>
      </c>
    </row>
    <row r="289" spans="1:3">
      <c r="A289">
        <f t="shared" si="4"/>
        <v>288</v>
      </c>
      <c r="B289" s="49">
        <v>3062337.320116872</v>
      </c>
      <c r="C289" s="49">
        <v>436007.94014705071</v>
      </c>
    </row>
    <row r="290" spans="1:3">
      <c r="A290">
        <f t="shared" si="4"/>
        <v>289</v>
      </c>
      <c r="B290" s="49">
        <v>3076008.2913271706</v>
      </c>
      <c r="C290" s="49">
        <v>437954.37888783071</v>
      </c>
    </row>
    <row r="291" spans="1:3">
      <c r="A291">
        <f t="shared" si="4"/>
        <v>290</v>
      </c>
      <c r="B291" s="49">
        <v>3082045.3806080413</v>
      </c>
      <c r="C291" s="49">
        <v>438813.92458338325</v>
      </c>
    </row>
    <row r="292" spans="1:3">
      <c r="A292">
        <f t="shared" si="4"/>
        <v>291</v>
      </c>
      <c r="B292" s="49">
        <v>3046166.8469176413</v>
      </c>
      <c r="C292" s="49">
        <v>433705.62855502451</v>
      </c>
    </row>
    <row r="293" spans="1:3">
      <c r="A293">
        <f t="shared" si="4"/>
        <v>292</v>
      </c>
      <c r="B293" s="49">
        <v>3033811.8023977987</v>
      </c>
      <c r="C293" s="49">
        <v>431946.54817020393</v>
      </c>
    </row>
    <row r="294" spans="1:3">
      <c r="A294">
        <f t="shared" si="4"/>
        <v>293</v>
      </c>
      <c r="B294" s="49">
        <v>3083674.1262238678</v>
      </c>
      <c r="C294" s="49">
        <v>439045.82131674275</v>
      </c>
    </row>
    <row r="295" spans="1:3">
      <c r="A295">
        <f t="shared" si="4"/>
        <v>294</v>
      </c>
      <c r="B295" s="49">
        <v>3070753.9575898661</v>
      </c>
      <c r="C295" s="49">
        <v>437206.27997181716</v>
      </c>
    </row>
    <row r="296" spans="1:3">
      <c r="A296">
        <f t="shared" si="4"/>
        <v>295</v>
      </c>
      <c r="B296" s="49">
        <v>3071106.0915091452</v>
      </c>
      <c r="C296" s="49">
        <v>437256.41591986979</v>
      </c>
    </row>
    <row r="297" spans="1:3">
      <c r="A297">
        <f t="shared" si="4"/>
        <v>296</v>
      </c>
      <c r="B297" s="49">
        <v>3073467.4284209195</v>
      </c>
      <c r="C297" s="49">
        <v>437592.61717246613</v>
      </c>
    </row>
    <row r="298" spans="1:3">
      <c r="A298">
        <f t="shared" si="4"/>
        <v>297</v>
      </c>
      <c r="B298" s="49">
        <v>3091192.9194146111</v>
      </c>
      <c r="C298" s="49">
        <v>440116.32831476431</v>
      </c>
    </row>
    <row r="299" spans="1:3">
      <c r="A299">
        <f t="shared" si="4"/>
        <v>298</v>
      </c>
      <c r="B299" s="49">
        <v>3090902.0311983852</v>
      </c>
      <c r="C299" s="49">
        <v>440074.91237696522</v>
      </c>
    </row>
    <row r="300" spans="1:3">
      <c r="A300">
        <f t="shared" si="4"/>
        <v>299</v>
      </c>
      <c r="B300" s="49">
        <v>3049497.5909939287</v>
      </c>
      <c r="C300" s="49">
        <v>434179.85157883028</v>
      </c>
    </row>
    <row r="301" spans="1:3">
      <c r="A301">
        <f t="shared" si="4"/>
        <v>300</v>
      </c>
      <c r="B301" s="49">
        <v>3051294.9681805824</v>
      </c>
      <c r="C301" s="49">
        <v>434435.75765412516</v>
      </c>
    </row>
    <row r="302" spans="1:3">
      <c r="A302">
        <f t="shared" si="4"/>
        <v>301</v>
      </c>
      <c r="B302" s="49">
        <v>3066748.5988793094</v>
      </c>
      <c r="C302" s="49">
        <v>436636.00700108084</v>
      </c>
    </row>
    <row r="303" spans="1:3">
      <c r="A303">
        <f t="shared" si="4"/>
        <v>302</v>
      </c>
      <c r="B303" s="49">
        <v>3055389.4696431146</v>
      </c>
      <c r="C303" s="49">
        <v>435018.72254727402</v>
      </c>
    </row>
    <row r="304" spans="1:3">
      <c r="A304">
        <f t="shared" si="4"/>
        <v>303</v>
      </c>
      <c r="B304" s="49">
        <v>3076112.4297555359</v>
      </c>
      <c r="C304" s="49">
        <v>437969.20585719933</v>
      </c>
    </row>
    <row r="305" spans="1:3">
      <c r="A305">
        <f t="shared" si="4"/>
        <v>304</v>
      </c>
      <c r="B305" s="49">
        <v>3050516.849403929</v>
      </c>
      <c r="C305" s="49">
        <v>434324.97104587994</v>
      </c>
    </row>
    <row r="306" spans="1:3">
      <c r="A306">
        <f t="shared" si="4"/>
        <v>305</v>
      </c>
      <c r="B306" s="49">
        <v>3086729.0549551714</v>
      </c>
      <c r="C306" s="49">
        <v>439480.77444051584</v>
      </c>
    </row>
    <row r="307" spans="1:3">
      <c r="A307">
        <f t="shared" si="4"/>
        <v>306</v>
      </c>
      <c r="B307" s="49">
        <v>3084163.6703236722</v>
      </c>
      <c r="C307" s="49">
        <v>439115.52138314786</v>
      </c>
    </row>
    <row r="308" spans="1:3">
      <c r="A308">
        <f t="shared" si="4"/>
        <v>307</v>
      </c>
      <c r="B308" s="49">
        <v>3076603.4964046539</v>
      </c>
      <c r="C308" s="49">
        <v>438039.12270037347</v>
      </c>
    </row>
    <row r="309" spans="1:3">
      <c r="A309">
        <f t="shared" si="4"/>
        <v>308</v>
      </c>
      <c r="B309" s="49">
        <v>3038076.0451814122</v>
      </c>
      <c r="C309" s="49">
        <v>432553.68040875794</v>
      </c>
    </row>
    <row r="310" spans="1:3">
      <c r="A310">
        <f t="shared" si="4"/>
        <v>309</v>
      </c>
      <c r="B310" s="49">
        <v>3038947.8701277506</v>
      </c>
      <c r="C310" s="49">
        <v>432677.80866743304</v>
      </c>
    </row>
    <row r="311" spans="1:3">
      <c r="A311">
        <f t="shared" si="4"/>
        <v>310</v>
      </c>
      <c r="B311" s="49">
        <v>3070874.9988786662</v>
      </c>
      <c r="C311" s="49">
        <v>437223.51352824346</v>
      </c>
    </row>
    <row r="312" spans="1:3">
      <c r="A312">
        <f t="shared" si="4"/>
        <v>311</v>
      </c>
      <c r="B312" s="49">
        <v>3073683.079371592</v>
      </c>
      <c r="C312" s="49">
        <v>437623.32101628365</v>
      </c>
    </row>
    <row r="313" spans="1:3">
      <c r="A313">
        <f t="shared" si="4"/>
        <v>312</v>
      </c>
      <c r="B313" s="49">
        <v>3087326.4637028105</v>
      </c>
      <c r="C313" s="49">
        <v>439565.83200611221</v>
      </c>
    </row>
    <row r="314" spans="1:3">
      <c r="A314">
        <f t="shared" si="4"/>
        <v>313</v>
      </c>
      <c r="B314" s="49">
        <v>3073569.4832206471</v>
      </c>
      <c r="C314" s="49">
        <v>437607.14747999265</v>
      </c>
    </row>
    <row r="315" spans="1:3">
      <c r="A315">
        <f t="shared" si="4"/>
        <v>314</v>
      </c>
      <c r="B315" s="49">
        <v>3051167.3750096532</v>
      </c>
      <c r="C315" s="49">
        <v>434417.59125708317</v>
      </c>
    </row>
    <row r="316" spans="1:3">
      <c r="A316">
        <f t="shared" si="4"/>
        <v>315</v>
      </c>
      <c r="B316" s="49">
        <v>3073569.4832206471</v>
      </c>
      <c r="C316" s="49">
        <v>437607.14747999265</v>
      </c>
    </row>
    <row r="317" spans="1:3">
      <c r="A317">
        <f t="shared" si="4"/>
        <v>316</v>
      </c>
      <c r="B317" s="49">
        <v>3048585.2218361674</v>
      </c>
      <c r="C317" s="49">
        <v>434049.95073658274</v>
      </c>
    </row>
    <row r="318" spans="1:3">
      <c r="A318">
        <f t="shared" si="4"/>
        <v>317</v>
      </c>
      <c r="B318" s="49">
        <v>3083351.6834473931</v>
      </c>
      <c r="C318" s="49">
        <v>438999.91271945584</v>
      </c>
    </row>
    <row r="319" spans="1:3">
      <c r="A319">
        <f t="shared" si="4"/>
        <v>318</v>
      </c>
      <c r="B319" s="49">
        <v>3089414.7178088343</v>
      </c>
      <c r="C319" s="49">
        <v>439863.152410788</v>
      </c>
    </row>
    <row r="320" spans="1:3">
      <c r="A320">
        <f t="shared" si="4"/>
        <v>319</v>
      </c>
      <c r="B320" s="49">
        <v>3097693.9167728722</v>
      </c>
      <c r="C320" s="49">
        <v>441041.92408387072</v>
      </c>
    </row>
    <row r="321" spans="1:3">
      <c r="A321">
        <f t="shared" si="4"/>
        <v>320</v>
      </c>
      <c r="B321" s="49">
        <v>3041183.7608457683</v>
      </c>
      <c r="C321" s="49">
        <v>432996.14920423564</v>
      </c>
    </row>
    <row r="322" spans="1:3">
      <c r="A322">
        <f t="shared" si="4"/>
        <v>321</v>
      </c>
      <c r="B322" s="49">
        <v>3069634.7501128754</v>
      </c>
      <c r="C322" s="49">
        <v>437046.93000620947</v>
      </c>
    </row>
    <row r="323" spans="1:3">
      <c r="A323">
        <f t="shared" si="4"/>
        <v>322</v>
      </c>
      <c r="B323" s="49">
        <v>3016189.200474055</v>
      </c>
      <c r="C323" s="49">
        <v>429437.48611674283</v>
      </c>
    </row>
    <row r="324" spans="1:3">
      <c r="A324">
        <f t="shared" si="4"/>
        <v>323</v>
      </c>
      <c r="B324" s="49">
        <v>3041955.5825185939</v>
      </c>
      <c r="C324" s="49">
        <v>433106.03924656345</v>
      </c>
    </row>
    <row r="325" spans="1:3">
      <c r="A325">
        <f t="shared" ref="A325:A388" si="5">A324+1</f>
        <v>324</v>
      </c>
      <c r="B325" s="49">
        <v>3064212.9204798373</v>
      </c>
      <c r="C325" s="49">
        <v>436274.9834428443</v>
      </c>
    </row>
    <row r="326" spans="1:3">
      <c r="A326">
        <f t="shared" si="5"/>
        <v>325</v>
      </c>
      <c r="B326" s="49">
        <v>3002229.7915446255</v>
      </c>
      <c r="C326" s="49">
        <v>427449.98033382057</v>
      </c>
    </row>
    <row r="327" spans="1:3">
      <c r="A327">
        <f t="shared" si="5"/>
        <v>326</v>
      </c>
      <c r="B327" s="49">
        <v>3052276.2746490161</v>
      </c>
      <c r="C327" s="49">
        <v>434575.47361851094</v>
      </c>
    </row>
    <row r="328" spans="1:3">
      <c r="A328">
        <f t="shared" si="5"/>
        <v>327</v>
      </c>
      <c r="B328" s="49">
        <v>3049235.4806684605</v>
      </c>
      <c r="C328" s="49">
        <v>434142.53296525101</v>
      </c>
    </row>
    <row r="329" spans="1:3">
      <c r="A329">
        <f t="shared" si="5"/>
        <v>328</v>
      </c>
      <c r="B329" s="49">
        <v>3021950.9450849495</v>
      </c>
      <c r="C329" s="49">
        <v>430257.82892579481</v>
      </c>
    </row>
    <row r="330" spans="1:3">
      <c r="A330">
        <f t="shared" si="5"/>
        <v>329</v>
      </c>
      <c r="B330" s="49">
        <v>3046907.7217240189</v>
      </c>
      <c r="C330" s="49">
        <v>433811.11245979019</v>
      </c>
    </row>
    <row r="331" spans="1:3">
      <c r="A331">
        <f t="shared" si="5"/>
        <v>330</v>
      </c>
      <c r="B331" s="49">
        <v>3062511.008557051</v>
      </c>
      <c r="C331" s="49">
        <v>436032.66947341606</v>
      </c>
    </row>
    <row r="332" spans="1:3">
      <c r="A332">
        <f t="shared" si="5"/>
        <v>331</v>
      </c>
      <c r="B332" s="49">
        <v>3020087.0720502199</v>
      </c>
      <c r="C332" s="49">
        <v>429992.45533770917</v>
      </c>
    </row>
    <row r="333" spans="1:3">
      <c r="A333">
        <f t="shared" si="5"/>
        <v>332</v>
      </c>
      <c r="B333" s="49">
        <v>3082219.0690482203</v>
      </c>
      <c r="C333" s="49">
        <v>438838.65390974854</v>
      </c>
    </row>
    <row r="334" spans="1:3">
      <c r="A334">
        <f t="shared" si="5"/>
        <v>333</v>
      </c>
      <c r="B334" s="49">
        <v>3083097.4583750647</v>
      </c>
      <c r="C334" s="49">
        <v>438963.71678852703</v>
      </c>
    </row>
    <row r="335" spans="1:3">
      <c r="A335">
        <f t="shared" si="5"/>
        <v>334</v>
      </c>
      <c r="B335" s="49">
        <v>3063884.1179674035</v>
      </c>
      <c r="C335" s="49">
        <v>436228.16936223349</v>
      </c>
    </row>
    <row r="336" spans="1:3">
      <c r="A336">
        <f t="shared" si="5"/>
        <v>335</v>
      </c>
      <c r="B336" s="49">
        <v>3077435.9389324477</v>
      </c>
      <c r="C336" s="49">
        <v>438157.64378864481</v>
      </c>
    </row>
    <row r="337" spans="1:3">
      <c r="A337">
        <f t="shared" si="5"/>
        <v>336</v>
      </c>
      <c r="B337" s="49">
        <v>3071869.3930602036</v>
      </c>
      <c r="C337" s="49">
        <v>437365.09288853739</v>
      </c>
    </row>
    <row r="338" spans="1:3">
      <c r="A338">
        <f t="shared" si="5"/>
        <v>337</v>
      </c>
      <c r="B338" s="49">
        <v>3079064.6845482741</v>
      </c>
      <c r="C338" s="49">
        <v>438389.5405220043</v>
      </c>
    </row>
    <row r="339" spans="1:3">
      <c r="A339">
        <f t="shared" si="5"/>
        <v>338</v>
      </c>
      <c r="B339" s="49">
        <v>3062014.2411405221</v>
      </c>
      <c r="C339" s="49">
        <v>435961.94096921431</v>
      </c>
    </row>
    <row r="340" spans="1:3">
      <c r="A340">
        <f t="shared" si="5"/>
        <v>339</v>
      </c>
      <c r="B340" s="49">
        <v>3079484.1294897655</v>
      </c>
      <c r="C340" s="49">
        <v>438449.26004530548</v>
      </c>
    </row>
    <row r="341" spans="1:3">
      <c r="A341">
        <f t="shared" si="5"/>
        <v>340</v>
      </c>
      <c r="B341" s="49">
        <v>3051271.5653362479</v>
      </c>
      <c r="C341" s="49">
        <v>434432.42561559204</v>
      </c>
    </row>
    <row r="342" spans="1:3">
      <c r="A342">
        <f t="shared" si="5"/>
        <v>341</v>
      </c>
      <c r="B342" s="49">
        <v>3063660.0050457623</v>
      </c>
      <c r="C342" s="49">
        <v>436196.2607241213</v>
      </c>
    </row>
    <row r="343" spans="1:3">
      <c r="A343">
        <f t="shared" si="5"/>
        <v>342</v>
      </c>
      <c r="B343" s="49">
        <v>3026758.6891670143</v>
      </c>
      <c r="C343" s="49">
        <v>430942.34352195146</v>
      </c>
    </row>
    <row r="344" spans="1:3">
      <c r="A344">
        <f t="shared" si="5"/>
        <v>343</v>
      </c>
      <c r="B344" s="49">
        <v>3074813.1230681101</v>
      </c>
      <c r="C344" s="49">
        <v>437784.21381576668</v>
      </c>
    </row>
    <row r="345" spans="1:3">
      <c r="A345">
        <f t="shared" si="5"/>
        <v>344</v>
      </c>
      <c r="B345" s="49">
        <v>3077980.7619830845</v>
      </c>
      <c r="C345" s="49">
        <v>438235.21433402278</v>
      </c>
    </row>
    <row r="346" spans="1:3">
      <c r="A346">
        <f t="shared" si="5"/>
        <v>345</v>
      </c>
      <c r="B346" s="49">
        <v>3073206.8677634653</v>
      </c>
      <c r="C346" s="49">
        <v>437555.51919674873</v>
      </c>
    </row>
    <row r="347" spans="1:3">
      <c r="A347">
        <f t="shared" si="5"/>
        <v>346</v>
      </c>
      <c r="B347" s="49">
        <v>3075594.1413970338</v>
      </c>
      <c r="C347" s="49">
        <v>437895.41325502313</v>
      </c>
    </row>
    <row r="348" spans="1:3">
      <c r="A348">
        <f t="shared" si="5"/>
        <v>347</v>
      </c>
      <c r="B348" s="49">
        <v>3082219.0690482203</v>
      </c>
      <c r="C348" s="49">
        <v>438838.65390974854</v>
      </c>
    </row>
    <row r="349" spans="1:3">
      <c r="A349">
        <f t="shared" si="5"/>
        <v>348</v>
      </c>
      <c r="B349" s="49">
        <v>3039447.1005011504</v>
      </c>
      <c r="C349" s="49">
        <v>432748.88784128334</v>
      </c>
    </row>
    <row r="350" spans="1:3">
      <c r="A350">
        <f t="shared" si="5"/>
        <v>349</v>
      </c>
      <c r="B350" s="49">
        <v>3077435.9389324477</v>
      </c>
      <c r="C350" s="49">
        <v>438157.64378864481</v>
      </c>
    </row>
    <row r="351" spans="1:3">
      <c r="A351">
        <f t="shared" si="5"/>
        <v>350</v>
      </c>
      <c r="B351" s="49">
        <v>3056125.296687881</v>
      </c>
      <c r="C351" s="49">
        <v>435123.48776434711</v>
      </c>
    </row>
    <row r="352" spans="1:3">
      <c r="A352">
        <f t="shared" si="5"/>
        <v>351</v>
      </c>
      <c r="B352" s="49">
        <v>3057463.3495986378</v>
      </c>
      <c r="C352" s="49">
        <v>435313.99639629771</v>
      </c>
    </row>
    <row r="353" spans="1:3">
      <c r="A353">
        <f t="shared" si="5"/>
        <v>352</v>
      </c>
      <c r="B353" s="49">
        <v>3082868.5864001871</v>
      </c>
      <c r="C353" s="49">
        <v>438931.13056829968</v>
      </c>
    </row>
    <row r="354" spans="1:3">
      <c r="A354">
        <f t="shared" si="5"/>
        <v>353</v>
      </c>
      <c r="B354" s="49">
        <v>3078178.9248962407</v>
      </c>
      <c r="C354" s="49">
        <v>438263.42827473115</v>
      </c>
    </row>
    <row r="355" spans="1:3">
      <c r="A355">
        <f t="shared" si="5"/>
        <v>354</v>
      </c>
      <c r="B355" s="49">
        <v>3071447.0281105423</v>
      </c>
      <c r="C355" s="49">
        <v>437304.95762176503</v>
      </c>
    </row>
    <row r="356" spans="1:3">
      <c r="A356">
        <f t="shared" si="5"/>
        <v>355</v>
      </c>
      <c r="B356" s="49">
        <v>3045794.2520541213</v>
      </c>
      <c r="C356" s="49">
        <v>433652.57942882745</v>
      </c>
    </row>
    <row r="357" spans="1:3">
      <c r="A357">
        <f t="shared" si="5"/>
        <v>356</v>
      </c>
      <c r="B357" s="49">
        <v>3070347.150225651</v>
      </c>
      <c r="C357" s="49">
        <v>437148.35975520918</v>
      </c>
    </row>
    <row r="358" spans="1:3">
      <c r="A358">
        <f t="shared" si="5"/>
        <v>357</v>
      </c>
      <c r="B358" s="49">
        <v>3081831.2623751834</v>
      </c>
      <c r="C358" s="49">
        <v>438783.43896410055</v>
      </c>
    </row>
    <row r="359" spans="1:3">
      <c r="A359">
        <f t="shared" si="5"/>
        <v>358</v>
      </c>
      <c r="B359" s="49">
        <v>3077609.6273726267</v>
      </c>
      <c r="C359" s="49">
        <v>438182.37311501015</v>
      </c>
    </row>
    <row r="360" spans="1:3">
      <c r="A360">
        <f t="shared" si="5"/>
        <v>359</v>
      </c>
      <c r="B360" s="49">
        <v>3061970.1160852439</v>
      </c>
      <c r="C360" s="49">
        <v>435955.65855403611</v>
      </c>
    </row>
    <row r="361" spans="1:3">
      <c r="A361">
        <f t="shared" si="5"/>
        <v>360</v>
      </c>
      <c r="B361" s="49">
        <v>3042698.0483769225</v>
      </c>
      <c r="C361" s="49">
        <v>433211.74968133261</v>
      </c>
    </row>
    <row r="362" spans="1:3">
      <c r="A362">
        <f t="shared" si="5"/>
        <v>361</v>
      </c>
      <c r="B362" s="49">
        <v>3055135.1125678401</v>
      </c>
      <c r="C362" s="49">
        <v>434982.50782209542</v>
      </c>
    </row>
    <row r="363" spans="1:3">
      <c r="A363">
        <f t="shared" si="5"/>
        <v>362</v>
      </c>
      <c r="B363" s="49">
        <v>3088933.0852514277</v>
      </c>
      <c r="C363" s="49">
        <v>439794.57877003233</v>
      </c>
    </row>
    <row r="364" spans="1:3">
      <c r="A364">
        <f t="shared" si="5"/>
        <v>363</v>
      </c>
      <c r="B364" s="49">
        <v>2995136.277443876</v>
      </c>
      <c r="C364" s="49">
        <v>426440.0235105945</v>
      </c>
    </row>
    <row r="365" spans="1:3">
      <c r="A365">
        <f t="shared" si="5"/>
        <v>364</v>
      </c>
      <c r="B365" s="49">
        <v>3064375.7910853149</v>
      </c>
      <c r="C365" s="49">
        <v>436298.17255291983</v>
      </c>
    </row>
    <row r="366" spans="1:3">
      <c r="A366">
        <f t="shared" si="5"/>
        <v>365</v>
      </c>
      <c r="B366" s="49">
        <v>3041156.4427056913</v>
      </c>
      <c r="C366" s="49">
        <v>432992.25971567241</v>
      </c>
    </row>
    <row r="367" spans="1:3">
      <c r="A367">
        <f t="shared" si="5"/>
        <v>366</v>
      </c>
      <c r="B367" s="49">
        <v>3073446.2419113307</v>
      </c>
      <c r="C367" s="49">
        <v>437589.6006901394</v>
      </c>
    </row>
    <row r="368" spans="1:3">
      <c r="A368">
        <f t="shared" si="5"/>
        <v>367</v>
      </c>
      <c r="B368" s="49">
        <v>3011575.4620237118</v>
      </c>
      <c r="C368" s="49">
        <v>428780.59355794574</v>
      </c>
    </row>
    <row r="369" spans="1:3">
      <c r="A369">
        <f t="shared" si="5"/>
        <v>368</v>
      </c>
      <c r="B369" s="49">
        <v>3082219.0690482203</v>
      </c>
      <c r="C369" s="49">
        <v>438838.65390974854</v>
      </c>
    </row>
    <row r="370" spans="1:3">
      <c r="A370">
        <f t="shared" si="5"/>
        <v>369</v>
      </c>
      <c r="B370" s="49">
        <v>3087106.1767224455</v>
      </c>
      <c r="C370" s="49">
        <v>439534.46809596452</v>
      </c>
    </row>
    <row r="371" spans="1:3">
      <c r="A371">
        <f t="shared" si="5"/>
        <v>370</v>
      </c>
      <c r="B371" s="49">
        <v>3084806.7406230406</v>
      </c>
      <c r="C371" s="49">
        <v>439207.08012645005</v>
      </c>
    </row>
    <row r="372" spans="1:3">
      <c r="A372">
        <f t="shared" si="5"/>
        <v>371</v>
      </c>
      <c r="B372" s="49">
        <v>3028374.6489305636</v>
      </c>
      <c r="C372" s="49">
        <v>431172.41983759351</v>
      </c>
    </row>
    <row r="373" spans="1:3">
      <c r="A373">
        <f t="shared" si="5"/>
        <v>372</v>
      </c>
      <c r="B373" s="49">
        <v>3044368.791813367</v>
      </c>
      <c r="C373" s="49">
        <v>433449.62595951173</v>
      </c>
    </row>
    <row r="374" spans="1:3">
      <c r="A374">
        <f t="shared" si="5"/>
        <v>373</v>
      </c>
      <c r="B374" s="49">
        <v>3026219.2125876774</v>
      </c>
      <c r="C374" s="49">
        <v>430865.53419380554</v>
      </c>
    </row>
    <row r="375" spans="1:3">
      <c r="A375">
        <f t="shared" si="5"/>
        <v>374</v>
      </c>
      <c r="B375" s="49">
        <v>3070742.1732961931</v>
      </c>
      <c r="C375" s="49">
        <v>437204.60215351259</v>
      </c>
    </row>
    <row r="376" spans="1:3">
      <c r="A376">
        <f t="shared" si="5"/>
        <v>375</v>
      </c>
      <c r="B376" s="49">
        <v>3077980.7619830845</v>
      </c>
      <c r="C376" s="49">
        <v>438235.21433402278</v>
      </c>
    </row>
    <row r="377" spans="1:3">
      <c r="A377">
        <f t="shared" si="5"/>
        <v>376</v>
      </c>
      <c r="B377" s="49">
        <v>3041048.0641733003</v>
      </c>
      <c r="C377" s="49">
        <v>432976.82905088126</v>
      </c>
    </row>
    <row r="378" spans="1:3">
      <c r="A378">
        <f t="shared" si="5"/>
        <v>377</v>
      </c>
      <c r="B378" s="49">
        <v>3011249.7346509141</v>
      </c>
      <c r="C378" s="49">
        <v>428734.21730803681</v>
      </c>
    </row>
    <row r="379" spans="1:3">
      <c r="A379">
        <f t="shared" si="5"/>
        <v>378</v>
      </c>
      <c r="B379" s="49">
        <v>3058470.8644050714</v>
      </c>
      <c r="C379" s="49">
        <v>435457.44383839855</v>
      </c>
    </row>
    <row r="380" spans="1:3">
      <c r="A380">
        <f t="shared" si="5"/>
        <v>379</v>
      </c>
      <c r="B380" s="49">
        <v>3042523.7001775191</v>
      </c>
      <c r="C380" s="49">
        <v>433186.92642009654</v>
      </c>
    </row>
    <row r="381" spans="1:3">
      <c r="A381">
        <f t="shared" si="5"/>
        <v>380</v>
      </c>
      <c r="B381" s="49">
        <v>3063180.0163574615</v>
      </c>
      <c r="C381" s="49">
        <v>436127.9211333436</v>
      </c>
    </row>
    <row r="382" spans="1:3">
      <c r="A382">
        <f t="shared" si="5"/>
        <v>381</v>
      </c>
      <c r="B382" s="49">
        <v>3078602.3561591725</v>
      </c>
      <c r="C382" s="49">
        <v>438323.71536052407</v>
      </c>
    </row>
    <row r="383" spans="1:3">
      <c r="A383">
        <f t="shared" si="5"/>
        <v>382</v>
      </c>
      <c r="B383" s="49">
        <v>3062463.3693434801</v>
      </c>
      <c r="C383" s="49">
        <v>436025.8867211559</v>
      </c>
    </row>
    <row r="384" spans="1:3">
      <c r="A384">
        <f t="shared" si="5"/>
        <v>383</v>
      </c>
      <c r="B384" s="49">
        <v>3082426.133810991</v>
      </c>
      <c r="C384" s="49">
        <v>438868.13527357468</v>
      </c>
    </row>
    <row r="385" spans="1:3">
      <c r="A385">
        <f t="shared" si="5"/>
        <v>384</v>
      </c>
      <c r="B385" s="49">
        <v>3050787.5961852018</v>
      </c>
      <c r="C385" s="49">
        <v>434363.51929646905</v>
      </c>
    </row>
    <row r="386" spans="1:3">
      <c r="A386">
        <f t="shared" si="5"/>
        <v>385</v>
      </c>
      <c r="B386" s="49">
        <v>3072686.3081671018</v>
      </c>
      <c r="C386" s="49">
        <v>437481.40322139778</v>
      </c>
    </row>
    <row r="387" spans="1:3">
      <c r="A387">
        <f t="shared" si="5"/>
        <v>386</v>
      </c>
      <c r="B387" s="49">
        <v>3059538.3061122252</v>
      </c>
      <c r="C387" s="49">
        <v>435609.42352297017</v>
      </c>
    </row>
    <row r="388" spans="1:3">
      <c r="A388">
        <f t="shared" si="5"/>
        <v>387</v>
      </c>
      <c r="B388" s="49">
        <v>3047362.0050595049</v>
      </c>
      <c r="C388" s="49">
        <v>433875.79218662728</v>
      </c>
    </row>
    <row r="389" spans="1:3">
      <c r="A389">
        <f t="shared" ref="A389:A452" si="6">A388+1</f>
        <v>388</v>
      </c>
      <c r="B389" s="49">
        <v>3048770.3998133256</v>
      </c>
      <c r="C389" s="49">
        <v>434076.31591453066</v>
      </c>
    </row>
    <row r="390" spans="1:3">
      <c r="A390">
        <f t="shared" si="6"/>
        <v>389</v>
      </c>
      <c r="B390" s="49">
        <v>3089028.3756255973</v>
      </c>
      <c r="C390" s="49">
        <v>439808.14597554051</v>
      </c>
    </row>
    <row r="391" spans="1:3">
      <c r="A391">
        <f t="shared" si="6"/>
        <v>390</v>
      </c>
      <c r="B391" s="49">
        <v>3049353.3895365382</v>
      </c>
      <c r="C391" s="49">
        <v>434159.32053543732</v>
      </c>
    </row>
    <row r="392" spans="1:3">
      <c r="A392">
        <f t="shared" si="6"/>
        <v>391</v>
      </c>
      <c r="B392" s="49">
        <v>3068162.3306976506</v>
      </c>
      <c r="C392" s="49">
        <v>436837.29060690245</v>
      </c>
    </row>
    <row r="393" spans="1:3">
      <c r="A393">
        <f t="shared" si="6"/>
        <v>392</v>
      </c>
      <c r="B393" s="49">
        <v>3079527.1232114597</v>
      </c>
      <c r="C393" s="49">
        <v>438455.3813840333</v>
      </c>
    </row>
    <row r="394" spans="1:3">
      <c r="A394">
        <f t="shared" si="6"/>
        <v>393</v>
      </c>
      <c r="B394" s="49">
        <v>3068415.7253606734</v>
      </c>
      <c r="C394" s="49">
        <v>436873.36830622808</v>
      </c>
    </row>
    <row r="395" spans="1:3">
      <c r="A395">
        <f t="shared" si="6"/>
        <v>394</v>
      </c>
      <c r="B395" s="49">
        <v>3044853.3785661114</v>
      </c>
      <c r="C395" s="49">
        <v>433518.62021122221</v>
      </c>
    </row>
    <row r="396" spans="1:3">
      <c r="A396">
        <f t="shared" si="6"/>
        <v>395</v>
      </c>
      <c r="B396" s="49">
        <v>3051451.6953124804</v>
      </c>
      <c r="C396" s="49">
        <v>434458.0720717744</v>
      </c>
    </row>
    <row r="397" spans="1:3">
      <c r="A397">
        <f t="shared" si="6"/>
        <v>396</v>
      </c>
      <c r="B397" s="49">
        <v>3057083.8792377664</v>
      </c>
      <c r="C397" s="49">
        <v>435259.96835395781</v>
      </c>
    </row>
    <row r="398" spans="1:3">
      <c r="A398">
        <f t="shared" si="6"/>
        <v>397</v>
      </c>
      <c r="B398" s="49">
        <v>3073569.4832206471</v>
      </c>
      <c r="C398" s="49">
        <v>437607.14747999265</v>
      </c>
    </row>
    <row r="399" spans="1:3">
      <c r="A399">
        <f t="shared" si="6"/>
        <v>398</v>
      </c>
      <c r="B399" s="49">
        <v>3041815.5025608414</v>
      </c>
      <c r="C399" s="49">
        <v>433086.09501199645</v>
      </c>
    </row>
    <row r="400" spans="1:3">
      <c r="A400">
        <f t="shared" si="6"/>
        <v>399</v>
      </c>
      <c r="B400" s="49">
        <v>2985378.6214587111</v>
      </c>
      <c r="C400" s="49">
        <v>425050.75281895394</v>
      </c>
    </row>
    <row r="401" spans="1:3">
      <c r="A401">
        <f t="shared" si="6"/>
        <v>400</v>
      </c>
      <c r="B401" s="49">
        <v>3051064.5005734768</v>
      </c>
      <c r="C401" s="49">
        <v>434402.9442517659</v>
      </c>
    </row>
    <row r="402" spans="1:3">
      <c r="A402">
        <f t="shared" si="6"/>
        <v>401</v>
      </c>
      <c r="B402" s="49">
        <v>3056343.3149963482</v>
      </c>
      <c r="C402" s="49">
        <v>435154.52866665547</v>
      </c>
    </row>
    <row r="403" spans="1:3">
      <c r="A403">
        <f t="shared" si="6"/>
        <v>402</v>
      </c>
      <c r="B403" s="49">
        <v>3065764.1289552958</v>
      </c>
      <c r="C403" s="49">
        <v>436495.84063178959</v>
      </c>
    </row>
    <row r="404" spans="1:3">
      <c r="A404">
        <f t="shared" si="6"/>
        <v>403</v>
      </c>
      <c r="B404" s="49">
        <v>3055344.8849569322</v>
      </c>
      <c r="C404" s="49">
        <v>435012.37469099549</v>
      </c>
    </row>
    <row r="405" spans="1:3">
      <c r="A405">
        <f t="shared" si="6"/>
        <v>404</v>
      </c>
      <c r="B405" s="49">
        <v>3077980.7619830845</v>
      </c>
      <c r="C405" s="49">
        <v>438235.21433402278</v>
      </c>
    </row>
    <row r="406" spans="1:3">
      <c r="A406">
        <f t="shared" si="6"/>
        <v>405</v>
      </c>
      <c r="B406" s="49">
        <v>3031936.4320411473</v>
      </c>
      <c r="C406" s="49">
        <v>431679.53762213496</v>
      </c>
    </row>
    <row r="407" spans="1:3">
      <c r="A407">
        <f t="shared" si="6"/>
        <v>406</v>
      </c>
      <c r="B407" s="49">
        <v>3062402.0478135585</v>
      </c>
      <c r="C407" s="49">
        <v>436017.15591486223</v>
      </c>
    </row>
    <row r="408" spans="1:3">
      <c r="A408">
        <f t="shared" si="6"/>
        <v>407</v>
      </c>
      <c r="B408" s="49">
        <v>3071057.9130501803</v>
      </c>
      <c r="C408" s="49">
        <v>437249.55639119708</v>
      </c>
    </row>
    <row r="409" spans="1:3">
      <c r="A409">
        <f t="shared" si="6"/>
        <v>408</v>
      </c>
      <c r="B409" s="49">
        <v>3042936.764161896</v>
      </c>
      <c r="C409" s="49">
        <v>433245.73743865872</v>
      </c>
    </row>
    <row r="410" spans="1:3">
      <c r="A410">
        <f t="shared" si="6"/>
        <v>409</v>
      </c>
      <c r="B410" s="49">
        <v>3054206.4842548296</v>
      </c>
      <c r="C410" s="49">
        <v>434850.29204192705</v>
      </c>
    </row>
    <row r="411" spans="1:3">
      <c r="A411">
        <f t="shared" si="6"/>
        <v>410</v>
      </c>
      <c r="B411" s="49">
        <v>3044963.4467818276</v>
      </c>
      <c r="C411" s="49">
        <v>433534.29144890554</v>
      </c>
    </row>
    <row r="412" spans="1:3">
      <c r="A412">
        <f t="shared" si="6"/>
        <v>411</v>
      </c>
      <c r="B412" s="49">
        <v>3077609.6273726267</v>
      </c>
      <c r="C412" s="49">
        <v>438182.37311501015</v>
      </c>
    </row>
    <row r="413" spans="1:3">
      <c r="A413">
        <f t="shared" si="6"/>
        <v>412</v>
      </c>
      <c r="B413" s="49">
        <v>3079311.5392954135</v>
      </c>
      <c r="C413" s="49">
        <v>438424.68708443845</v>
      </c>
    </row>
    <row r="414" spans="1:3">
      <c r="A414">
        <f t="shared" si="6"/>
        <v>413</v>
      </c>
      <c r="B414" s="49">
        <v>3071009.2212161971</v>
      </c>
      <c r="C414" s="49">
        <v>437242.62376947131</v>
      </c>
    </row>
    <row r="415" spans="1:3">
      <c r="A415">
        <f t="shared" si="6"/>
        <v>414</v>
      </c>
      <c r="B415" s="49">
        <v>3075353.3004238955</v>
      </c>
      <c r="C415" s="49">
        <v>437861.12291871326</v>
      </c>
    </row>
    <row r="416" spans="1:3">
      <c r="A416">
        <f t="shared" si="6"/>
        <v>415</v>
      </c>
      <c r="B416" s="49">
        <v>3068374.0719588604</v>
      </c>
      <c r="C416" s="49">
        <v>436867.43779889785</v>
      </c>
    </row>
    <row r="417" spans="1:3">
      <c r="A417">
        <f t="shared" si="6"/>
        <v>416</v>
      </c>
      <c r="B417" s="49">
        <v>3040223.2648636457</v>
      </c>
      <c r="C417" s="49">
        <v>432859.39618492138</v>
      </c>
    </row>
    <row r="418" spans="1:3">
      <c r="A418">
        <f t="shared" si="6"/>
        <v>417</v>
      </c>
      <c r="B418" s="49">
        <v>3034351.6691334597</v>
      </c>
      <c r="C418" s="49">
        <v>432023.4130478329</v>
      </c>
    </row>
    <row r="419" spans="1:3">
      <c r="A419">
        <f t="shared" si="6"/>
        <v>418</v>
      </c>
      <c r="B419" s="49">
        <v>3049419.9171652924</v>
      </c>
      <c r="C419" s="49">
        <v>434168.79257308174</v>
      </c>
    </row>
    <row r="420" spans="1:3">
      <c r="A420">
        <f t="shared" si="6"/>
        <v>419</v>
      </c>
      <c r="B420" s="49">
        <v>3061415.3863898036</v>
      </c>
      <c r="C420" s="49">
        <v>435876.6775253106</v>
      </c>
    </row>
    <row r="421" spans="1:3">
      <c r="A421">
        <f t="shared" si="6"/>
        <v>420</v>
      </c>
      <c r="B421" s="49">
        <v>3060393.8482278096</v>
      </c>
      <c r="C421" s="49">
        <v>435731.23347286519</v>
      </c>
    </row>
    <row r="422" spans="1:3">
      <c r="A422">
        <f t="shared" si="6"/>
        <v>421</v>
      </c>
      <c r="B422" s="49">
        <v>3055160.039581927</v>
      </c>
      <c r="C422" s="49">
        <v>434986.05686811154</v>
      </c>
    </row>
    <row r="423" spans="1:3">
      <c r="A423">
        <f t="shared" si="6"/>
        <v>422</v>
      </c>
      <c r="B423" s="49">
        <v>3047547.8629080923</v>
      </c>
      <c r="C423" s="49">
        <v>433902.25416297145</v>
      </c>
    </row>
    <row r="424" spans="1:3">
      <c r="A424">
        <f t="shared" si="6"/>
        <v>423</v>
      </c>
      <c r="B424" s="49">
        <v>3050160.5740688201</v>
      </c>
      <c r="C424" s="49">
        <v>434274.24545338377</v>
      </c>
    </row>
    <row r="425" spans="1:3">
      <c r="A425">
        <f t="shared" si="6"/>
        <v>424</v>
      </c>
      <c r="B425" s="49">
        <v>3106495.8159137266</v>
      </c>
      <c r="C425" s="49">
        <v>442295.11650280375</v>
      </c>
    </row>
    <row r="426" spans="1:3">
      <c r="A426">
        <f t="shared" si="6"/>
        <v>425</v>
      </c>
      <c r="B426" s="49">
        <v>3043467.1357852244</v>
      </c>
      <c r="C426" s="49">
        <v>433321.25042590569</v>
      </c>
    </row>
    <row r="427" spans="1:3">
      <c r="A427">
        <f t="shared" si="6"/>
        <v>426</v>
      </c>
      <c r="B427" s="49">
        <v>3078602.3561591725</v>
      </c>
      <c r="C427" s="49">
        <v>438323.71536052407</v>
      </c>
    </row>
    <row r="428" spans="1:3">
      <c r="A428">
        <f t="shared" si="6"/>
        <v>427</v>
      </c>
      <c r="B428" s="49">
        <v>3051284.3636017307</v>
      </c>
      <c r="C428" s="49">
        <v>434434.24780067074</v>
      </c>
    </row>
    <row r="429" spans="1:3">
      <c r="A429">
        <f t="shared" si="6"/>
        <v>428</v>
      </c>
      <c r="B429" s="49">
        <v>3065087.3314145319</v>
      </c>
      <c r="C429" s="49">
        <v>436399.47988808359</v>
      </c>
    </row>
    <row r="430" spans="1:3">
      <c r="A430">
        <f t="shared" si="6"/>
        <v>429</v>
      </c>
      <c r="B430" s="49">
        <v>3083351.6834473931</v>
      </c>
      <c r="C430" s="49">
        <v>438999.91271945584</v>
      </c>
    </row>
    <row r="431" spans="1:3">
      <c r="A431">
        <f t="shared" si="6"/>
        <v>430</v>
      </c>
      <c r="B431" s="49">
        <v>3079064.6845482741</v>
      </c>
      <c r="C431" s="49">
        <v>438389.5405220043</v>
      </c>
    </row>
    <row r="432" spans="1:3">
      <c r="A432">
        <f t="shared" si="6"/>
        <v>431</v>
      </c>
      <c r="B432" s="49">
        <v>3085697.7180869845</v>
      </c>
      <c r="C432" s="49">
        <v>439333.93527275271</v>
      </c>
    </row>
    <row r="433" spans="1:3">
      <c r="A433">
        <f t="shared" si="6"/>
        <v>432</v>
      </c>
      <c r="B433" s="49">
        <v>3056428.8437373438</v>
      </c>
      <c r="C433" s="49">
        <v>435166.70603520988</v>
      </c>
    </row>
    <row r="434" spans="1:3">
      <c r="A434">
        <f t="shared" si="6"/>
        <v>433</v>
      </c>
      <c r="B434" s="49">
        <v>3064987.1995710507</v>
      </c>
      <c r="C434" s="49">
        <v>436385.22336626524</v>
      </c>
    </row>
    <row r="435" spans="1:3">
      <c r="A435">
        <f t="shared" si="6"/>
        <v>434</v>
      </c>
      <c r="B435" s="49">
        <v>3079617.3100093091</v>
      </c>
      <c r="C435" s="49">
        <v>438468.22195509</v>
      </c>
    </row>
    <row r="436" spans="1:3">
      <c r="A436">
        <f t="shared" si="6"/>
        <v>435</v>
      </c>
      <c r="B436" s="49">
        <v>3052730.6300926479</v>
      </c>
      <c r="C436" s="49">
        <v>434640.16361192585</v>
      </c>
    </row>
    <row r="437" spans="1:3">
      <c r="A437">
        <f t="shared" si="6"/>
        <v>436</v>
      </c>
      <c r="B437" s="49">
        <v>3053883.8471332295</v>
      </c>
      <c r="C437" s="49">
        <v>434804.35577426647</v>
      </c>
    </row>
    <row r="438" spans="1:3">
      <c r="A438">
        <f t="shared" si="6"/>
        <v>437</v>
      </c>
      <c r="B438" s="49">
        <v>3082868.5864001871</v>
      </c>
      <c r="C438" s="49">
        <v>438931.13056829968</v>
      </c>
    </row>
    <row r="439" spans="1:3">
      <c r="A439">
        <f t="shared" si="6"/>
        <v>438</v>
      </c>
      <c r="B439" s="49">
        <v>3071686.9524154277</v>
      </c>
      <c r="C439" s="49">
        <v>437339.11744513817</v>
      </c>
    </row>
    <row r="440" spans="1:3">
      <c r="A440">
        <f t="shared" si="6"/>
        <v>439</v>
      </c>
      <c r="B440" s="49">
        <v>3057939.712412193</v>
      </c>
      <c r="C440" s="49">
        <v>435381.81974408386</v>
      </c>
    </row>
    <row r="441" spans="1:3">
      <c r="A441">
        <f t="shared" si="6"/>
        <v>440</v>
      </c>
      <c r="B441" s="49">
        <v>3079948.0159691712</v>
      </c>
      <c r="C441" s="49">
        <v>438515.30704379227</v>
      </c>
    </row>
    <row r="442" spans="1:3">
      <c r="A442">
        <f t="shared" si="6"/>
        <v>441</v>
      </c>
      <c r="B442" s="49">
        <v>3074662.3076354507</v>
      </c>
      <c r="C442" s="49">
        <v>437762.74109109194</v>
      </c>
    </row>
    <row r="443" spans="1:3">
      <c r="A443">
        <f t="shared" si="6"/>
        <v>442</v>
      </c>
      <c r="B443" s="49">
        <v>3057065.8222878799</v>
      </c>
      <c r="C443" s="49">
        <v>435257.39745052613</v>
      </c>
    </row>
    <row r="444" spans="1:3">
      <c r="A444">
        <f t="shared" si="6"/>
        <v>443</v>
      </c>
      <c r="B444" s="49">
        <v>3066381.3948476813</v>
      </c>
      <c r="C444" s="49">
        <v>436583.72540806624</v>
      </c>
    </row>
    <row r="445" spans="1:3">
      <c r="A445">
        <f t="shared" si="6"/>
        <v>444</v>
      </c>
      <c r="B445" s="49">
        <v>3089356.51651436</v>
      </c>
      <c r="C445" s="49">
        <v>439854.86585582525</v>
      </c>
    </row>
    <row r="446" spans="1:3">
      <c r="A446">
        <f t="shared" si="6"/>
        <v>445</v>
      </c>
      <c r="B446" s="49">
        <v>3030978.3044945891</v>
      </c>
      <c r="C446" s="49">
        <v>431543.12181476166</v>
      </c>
    </row>
    <row r="447" spans="1:3">
      <c r="A447">
        <f t="shared" si="6"/>
        <v>446</v>
      </c>
      <c r="B447" s="49">
        <v>3054430.8437663838</v>
      </c>
      <c r="C447" s="49">
        <v>434882.23578889528</v>
      </c>
    </row>
    <row r="448" spans="1:3">
      <c r="A448">
        <f t="shared" si="6"/>
        <v>447</v>
      </c>
      <c r="B448" s="49">
        <v>3077825.2112886733</v>
      </c>
      <c r="C448" s="49">
        <v>438213.06741460506</v>
      </c>
    </row>
    <row r="449" spans="1:3">
      <c r="A449">
        <f t="shared" si="6"/>
        <v>448</v>
      </c>
      <c r="B449" s="49">
        <v>3046233.9108826746</v>
      </c>
      <c r="C449" s="49">
        <v>433715.17695488891</v>
      </c>
    </row>
    <row r="450" spans="1:3">
      <c r="A450">
        <f t="shared" si="6"/>
        <v>449</v>
      </c>
      <c r="B450" s="49">
        <v>3077100.096629669</v>
      </c>
      <c r="C450" s="49">
        <v>438109.82740026491</v>
      </c>
    </row>
    <row r="451" spans="1:3">
      <c r="A451">
        <f t="shared" si="6"/>
        <v>450</v>
      </c>
      <c r="B451" s="49">
        <v>3060171.8823759151</v>
      </c>
      <c r="C451" s="49">
        <v>435699.63052918168</v>
      </c>
    </row>
    <row r="452" spans="1:3">
      <c r="A452">
        <f t="shared" si="6"/>
        <v>451</v>
      </c>
      <c r="B452" s="49">
        <v>3081847.2176948851</v>
      </c>
      <c r="C452" s="49">
        <v>438785.71064267488</v>
      </c>
    </row>
    <row r="453" spans="1:3">
      <c r="A453">
        <f t="shared" ref="A453:A501" si="7">A452+1</f>
        <v>452</v>
      </c>
      <c r="B453" s="49">
        <v>3077435.9389324477</v>
      </c>
      <c r="C453" s="49">
        <v>438157.64378864481</v>
      </c>
    </row>
    <row r="454" spans="1:3">
      <c r="A454">
        <f t="shared" si="7"/>
        <v>453</v>
      </c>
      <c r="B454" s="49">
        <v>3065830.8482609624</v>
      </c>
      <c r="C454" s="49">
        <v>436505.33995991404</v>
      </c>
    </row>
    <row r="455" spans="1:3">
      <c r="A455">
        <f t="shared" si="7"/>
        <v>454</v>
      </c>
      <c r="B455" s="49">
        <v>3043066.1175499796</v>
      </c>
      <c r="C455" s="49">
        <v>433264.15445102338</v>
      </c>
    </row>
    <row r="456" spans="1:3">
      <c r="A456">
        <f t="shared" si="7"/>
        <v>455</v>
      </c>
      <c r="B456" s="49">
        <v>3066381.3948476813</v>
      </c>
      <c r="C456" s="49">
        <v>436583.72540806624</v>
      </c>
    </row>
    <row r="457" spans="1:3">
      <c r="A457">
        <f t="shared" si="7"/>
        <v>456</v>
      </c>
      <c r="B457" s="49">
        <v>3029092.7101058988</v>
      </c>
      <c r="C457" s="49">
        <v>431274.6555945432</v>
      </c>
    </row>
    <row r="458" spans="1:3">
      <c r="A458">
        <f t="shared" si="7"/>
        <v>457</v>
      </c>
      <c r="B458" s="49">
        <v>3090075.0013879905</v>
      </c>
      <c r="C458" s="49">
        <v>439957.16193788016</v>
      </c>
    </row>
    <row r="459" spans="1:3">
      <c r="A459">
        <f t="shared" si="7"/>
        <v>458</v>
      </c>
      <c r="B459" s="49">
        <v>3050671.0809168862</v>
      </c>
      <c r="C459" s="49">
        <v>434346.93014353671</v>
      </c>
    </row>
    <row r="460" spans="1:3">
      <c r="A460">
        <f t="shared" si="7"/>
        <v>459</v>
      </c>
      <c r="B460" s="49">
        <v>3063111.2496376922</v>
      </c>
      <c r="C460" s="49">
        <v>436118.13029951212</v>
      </c>
    </row>
    <row r="461" spans="1:3">
      <c r="A461">
        <f t="shared" si="7"/>
        <v>460</v>
      </c>
      <c r="B461" s="49">
        <v>3016986.8874916309</v>
      </c>
      <c r="C461" s="49">
        <v>429551.05880226329</v>
      </c>
    </row>
    <row r="462" spans="1:3">
      <c r="A462">
        <f t="shared" si="7"/>
        <v>461</v>
      </c>
      <c r="B462" s="49">
        <v>3023173.8509706068</v>
      </c>
      <c r="C462" s="49">
        <v>430431.94321186526</v>
      </c>
    </row>
    <row r="463" spans="1:3">
      <c r="A463">
        <f t="shared" si="7"/>
        <v>462</v>
      </c>
      <c r="B463" s="49">
        <v>3047656.378488387</v>
      </c>
      <c r="C463" s="49">
        <v>433917.70434030081</v>
      </c>
    </row>
    <row r="464" spans="1:3">
      <c r="A464">
        <f t="shared" si="7"/>
        <v>463</v>
      </c>
      <c r="B464" s="49">
        <v>3053079.5331307533</v>
      </c>
      <c r="C464" s="49">
        <v>434689.83955518529</v>
      </c>
    </row>
    <row r="465" spans="1:3">
      <c r="A465">
        <f t="shared" si="7"/>
        <v>464</v>
      </c>
      <c r="B465" s="49">
        <v>3061970.1160852439</v>
      </c>
      <c r="C465" s="49">
        <v>435955.65855403611</v>
      </c>
    </row>
    <row r="466" spans="1:3">
      <c r="A466">
        <f t="shared" si="7"/>
        <v>465</v>
      </c>
      <c r="B466" s="49">
        <v>3077733.6586619341</v>
      </c>
      <c r="C466" s="49">
        <v>438200.03238024173</v>
      </c>
    </row>
    <row r="467" spans="1:3">
      <c r="A467">
        <f t="shared" si="7"/>
        <v>466</v>
      </c>
      <c r="B467" s="49">
        <v>3047529.5803536372</v>
      </c>
      <c r="C467" s="49">
        <v>433899.65113852464</v>
      </c>
    </row>
    <row r="468" spans="1:3">
      <c r="A468">
        <f t="shared" si="7"/>
        <v>467</v>
      </c>
      <c r="B468" s="49">
        <v>3037559.2880442687</v>
      </c>
      <c r="C468" s="49">
        <v>432480.10581805493</v>
      </c>
    </row>
    <row r="469" spans="1:3">
      <c r="A469">
        <f t="shared" si="7"/>
        <v>468</v>
      </c>
      <c r="B469" s="49">
        <v>3082761.7736330265</v>
      </c>
      <c r="C469" s="49">
        <v>438915.92283325194</v>
      </c>
    </row>
    <row r="470" spans="1:3">
      <c r="A470">
        <f t="shared" si="7"/>
        <v>469</v>
      </c>
      <c r="B470" s="49">
        <v>3052613.5533444341</v>
      </c>
      <c r="C470" s="49">
        <v>434623.4945168877</v>
      </c>
    </row>
    <row r="471" spans="1:3">
      <c r="A471">
        <f t="shared" si="7"/>
        <v>470</v>
      </c>
      <c r="B471" s="49">
        <v>3065468.7297357093</v>
      </c>
      <c r="C471" s="49">
        <v>436453.78242859722</v>
      </c>
    </row>
    <row r="472" spans="1:3">
      <c r="A472">
        <f t="shared" si="7"/>
        <v>471</v>
      </c>
      <c r="B472" s="49">
        <v>3047449.3137256163</v>
      </c>
      <c r="C472" s="49">
        <v>433888.22297647473</v>
      </c>
    </row>
    <row r="473" spans="1:3">
      <c r="A473">
        <f t="shared" si="7"/>
        <v>472</v>
      </c>
      <c r="B473" s="49">
        <v>3083722.8180578509</v>
      </c>
      <c r="C473" s="49">
        <v>439052.75393846852</v>
      </c>
    </row>
    <row r="474" spans="1:3">
      <c r="A474">
        <f t="shared" si="7"/>
        <v>473</v>
      </c>
      <c r="B474" s="49">
        <v>3092622.1467081769</v>
      </c>
      <c r="C474" s="49">
        <v>440319.81812765205</v>
      </c>
    </row>
    <row r="475" spans="1:3">
      <c r="A475">
        <f t="shared" si="7"/>
        <v>474</v>
      </c>
      <c r="B475" s="49">
        <v>3071301.376463885</v>
      </c>
      <c r="C475" s="49">
        <v>437284.22010404582</v>
      </c>
    </row>
    <row r="476" spans="1:3">
      <c r="A476">
        <f t="shared" si="7"/>
        <v>475</v>
      </c>
      <c r="B476" s="49">
        <v>3084570.498322974</v>
      </c>
      <c r="C476" s="49">
        <v>439173.44453772798</v>
      </c>
    </row>
    <row r="477" spans="1:3">
      <c r="A477">
        <f t="shared" si="7"/>
        <v>476</v>
      </c>
      <c r="B477" s="49">
        <v>3099491.6477645589</v>
      </c>
      <c r="C477" s="49">
        <v>441297.88053304265</v>
      </c>
    </row>
    <row r="478" spans="1:3">
      <c r="A478">
        <f t="shared" si="7"/>
        <v>477</v>
      </c>
      <c r="B478" s="49">
        <v>3082642.5003111521</v>
      </c>
      <c r="C478" s="49">
        <v>438898.94099554146</v>
      </c>
    </row>
    <row r="479" spans="1:3">
      <c r="A479">
        <f t="shared" si="7"/>
        <v>478</v>
      </c>
      <c r="B479" s="49">
        <v>3077791.1182232038</v>
      </c>
      <c r="C479" s="49">
        <v>438208.21332908311</v>
      </c>
    </row>
    <row r="480" spans="1:3">
      <c r="A480">
        <f t="shared" si="7"/>
        <v>479</v>
      </c>
      <c r="B480" s="49">
        <v>3026296.7044696533</v>
      </c>
      <c r="C480" s="49">
        <v>430876.56729444291</v>
      </c>
    </row>
    <row r="481" spans="1:3">
      <c r="A481">
        <f t="shared" si="7"/>
        <v>480</v>
      </c>
      <c r="B481" s="49">
        <v>3068992.6689273342</v>
      </c>
      <c r="C481" s="49">
        <v>436955.51209046389</v>
      </c>
    </row>
    <row r="482" spans="1:3">
      <c r="A482">
        <f t="shared" si="7"/>
        <v>481</v>
      </c>
      <c r="B482" s="49">
        <v>3066774.6618423671</v>
      </c>
      <c r="C482" s="49">
        <v>436639.71778067463</v>
      </c>
    </row>
    <row r="483" spans="1:3">
      <c r="A483">
        <f t="shared" si="7"/>
        <v>482</v>
      </c>
      <c r="B483" s="49">
        <v>3003934.8095028955</v>
      </c>
      <c r="C483" s="49">
        <v>427692.73653282435</v>
      </c>
    </row>
    <row r="484" spans="1:3">
      <c r="A484">
        <f t="shared" si="7"/>
        <v>483</v>
      </c>
      <c r="B484" s="49">
        <v>3079369.7405898878</v>
      </c>
      <c r="C484" s="49">
        <v>438432.9736394012</v>
      </c>
    </row>
    <row r="485" spans="1:3">
      <c r="A485">
        <f t="shared" si="7"/>
        <v>484</v>
      </c>
      <c r="B485" s="49">
        <v>3073646.2543460988</v>
      </c>
      <c r="C485" s="49">
        <v>437618.07796111604</v>
      </c>
    </row>
    <row r="486" spans="1:3">
      <c r="A486">
        <f t="shared" si="7"/>
        <v>485</v>
      </c>
      <c r="B486" s="49">
        <v>3076227.2802678975</v>
      </c>
      <c r="C486" s="49">
        <v>437985.55798633635</v>
      </c>
    </row>
    <row r="487" spans="1:3">
      <c r="A487">
        <f t="shared" si="7"/>
        <v>486</v>
      </c>
      <c r="B487" s="49">
        <v>3028565.2900691796</v>
      </c>
      <c r="C487" s="49">
        <v>431199.5628468268</v>
      </c>
    </row>
    <row r="488" spans="1:3">
      <c r="A488">
        <f t="shared" si="7"/>
        <v>487</v>
      </c>
      <c r="B488" s="49">
        <v>3087921.335138618</v>
      </c>
      <c r="C488" s="49">
        <v>439650.52831558633</v>
      </c>
    </row>
    <row r="489" spans="1:3">
      <c r="A489">
        <f t="shared" si="7"/>
        <v>488</v>
      </c>
      <c r="B489" s="49">
        <v>3077609.6273726267</v>
      </c>
      <c r="C489" s="49">
        <v>438182.37311501015</v>
      </c>
    </row>
    <row r="490" spans="1:3">
      <c r="A490">
        <f t="shared" si="7"/>
        <v>489</v>
      </c>
      <c r="B490" s="49">
        <v>3003264.4697405999</v>
      </c>
      <c r="C490" s="49">
        <v>427597.29523148981</v>
      </c>
    </row>
    <row r="491" spans="1:3">
      <c r="A491">
        <f t="shared" si="7"/>
        <v>490</v>
      </c>
      <c r="B491" s="49">
        <v>3055708.8164522853</v>
      </c>
      <c r="C491" s="49">
        <v>435064.19034846767</v>
      </c>
    </row>
    <row r="492" spans="1:3">
      <c r="A492">
        <f t="shared" si="7"/>
        <v>491</v>
      </c>
      <c r="B492" s="49">
        <v>3064862.0199803202</v>
      </c>
      <c r="C492" s="49">
        <v>436367.40060874465</v>
      </c>
    </row>
    <row r="493" spans="1:3">
      <c r="A493">
        <f t="shared" si="7"/>
        <v>492</v>
      </c>
      <c r="B493" s="49">
        <v>3045085.6549493326</v>
      </c>
      <c r="C493" s="49">
        <v>433551.69114260783</v>
      </c>
    </row>
    <row r="494" spans="1:3">
      <c r="A494">
        <f t="shared" si="7"/>
        <v>493</v>
      </c>
      <c r="B494" s="49">
        <v>3084570.498322974</v>
      </c>
      <c r="C494" s="49">
        <v>439173.44453772798</v>
      </c>
    </row>
    <row r="495" spans="1:3">
      <c r="A495">
        <f t="shared" si="7"/>
        <v>494</v>
      </c>
      <c r="B495" s="49">
        <v>3077435.9389324477</v>
      </c>
      <c r="C495" s="49">
        <v>438157.64378864481</v>
      </c>
    </row>
    <row r="496" spans="1:3">
      <c r="A496">
        <f t="shared" si="7"/>
        <v>495</v>
      </c>
      <c r="B496" s="49">
        <v>3076203.9994433117</v>
      </c>
      <c r="C496" s="49">
        <v>437982.24332067044</v>
      </c>
    </row>
    <row r="497" spans="1:3">
      <c r="A497">
        <f t="shared" si="7"/>
        <v>496</v>
      </c>
      <c r="B497" s="49">
        <v>3044637.891989226</v>
      </c>
      <c r="C497" s="49">
        <v>433487.93977053405</v>
      </c>
    </row>
    <row r="498" spans="1:3">
      <c r="A498">
        <f t="shared" si="7"/>
        <v>497</v>
      </c>
      <c r="B498" s="49">
        <v>3066509.8273517243</v>
      </c>
      <c r="C498" s="49">
        <v>436602.01130726084</v>
      </c>
    </row>
    <row r="499" spans="1:3">
      <c r="A499">
        <f t="shared" si="7"/>
        <v>498</v>
      </c>
      <c r="B499" s="49">
        <v>3066786.6225236082</v>
      </c>
      <c r="C499" s="49">
        <v>436641.42071260069</v>
      </c>
    </row>
    <row r="500" spans="1:3">
      <c r="A500">
        <f t="shared" si="7"/>
        <v>499</v>
      </c>
      <c r="B500" s="49">
        <v>3063554.0849232269</v>
      </c>
      <c r="C500" s="49">
        <v>436181.18008158612</v>
      </c>
    </row>
    <row r="501" spans="1:3">
      <c r="A501">
        <f t="shared" si="7"/>
        <v>500</v>
      </c>
      <c r="B501" s="49">
        <v>3088142.6159735639</v>
      </c>
      <c r="C501" s="49">
        <v>439682.03372826736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79E7ECF21C0E4B8E07639C4BF242C3" ma:contentTypeVersion="15" ma:contentTypeDescription="Create a new document." ma:contentTypeScope="" ma:versionID="32033f022483b509844059f3292ffc82">
  <xsd:schema xmlns:xsd="http://www.w3.org/2001/XMLSchema" xmlns:xs="http://www.w3.org/2001/XMLSchema" xmlns:p="http://schemas.microsoft.com/office/2006/metadata/properties" xmlns:ns3="77ebc047-5e7b-4a1f-b995-488ce2c9ab10" xmlns:ns4="72644889-00e1-4b88-90e6-2f3ddb201bee" targetNamespace="http://schemas.microsoft.com/office/2006/metadata/properties" ma:root="true" ma:fieldsID="8b592a3e176c42c26759e53b3f34bf1e" ns3:_="" ns4:_="">
    <xsd:import namespace="77ebc047-5e7b-4a1f-b995-488ce2c9ab10"/>
    <xsd:import namespace="72644889-00e1-4b88-90e6-2f3ddb201be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bc047-5e7b-4a1f-b995-488ce2c9ab1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44889-00e1-4b88-90e6-2f3ddb201be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ebc047-5e7b-4a1f-b995-488ce2c9ab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88A7BE-26D6-429C-A0EF-88710E2913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bc047-5e7b-4a1f-b995-488ce2c9ab10"/>
    <ds:schemaRef ds:uri="72644889-00e1-4b88-90e6-2f3ddb201b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82AEF8-D9EA-4699-B6B7-13ED8F33AC2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77ebc047-5e7b-4a1f-b995-488ce2c9ab10"/>
    <ds:schemaRef ds:uri="http://purl.org/dc/dcmitype/"/>
    <ds:schemaRef ds:uri="http://schemas.openxmlformats.org/package/2006/metadata/core-properties"/>
    <ds:schemaRef ds:uri="http://www.w3.org/XML/1998/namespace"/>
    <ds:schemaRef ds:uri="72644889-00e1-4b88-90e6-2f3ddb201be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A92EABA-A2F5-493E-8F40-9F50D39C24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Sensitivity_Analysis</vt:lpstr>
      <vt:lpstr>Stochastic</vt:lpstr>
      <vt:lpstr>Monte_Carlo_Simulation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Zihan Lin</dc:creator>
  <cp:keywords/>
  <dc:description/>
  <cp:lastModifiedBy>Tridib Banik</cp:lastModifiedBy>
  <cp:revision/>
  <dcterms:created xsi:type="dcterms:W3CDTF">2015-06-05T18:19:34Z</dcterms:created>
  <dcterms:modified xsi:type="dcterms:W3CDTF">2026-04-04T19:55:57Z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0x0101003F79E7ECF21C0E4B8E07639C4BF242C3</vt:lpwstr>
  </property>
</Properties>
</file>