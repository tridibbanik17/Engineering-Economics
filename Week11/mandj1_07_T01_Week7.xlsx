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aji\Downloads\"/>
    </mc:Choice>
  </mc:AlternateContent>
  <xr:revisionPtr revIDLastSave="0" documentId="13_ncr:1_{58D1E5B1-D105-42D5-A96C-0C849323F3B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W AW Comparison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14" l="1"/>
  <c r="T7" i="14"/>
  <c r="T20" i="14" s="1"/>
  <c r="T21" i="14" s="1"/>
  <c r="T8" i="14"/>
  <c r="T9" i="14"/>
  <c r="T10" i="14"/>
  <c r="T11" i="14"/>
  <c r="T12" i="14"/>
  <c r="T13" i="14"/>
  <c r="T14" i="14"/>
  <c r="T15" i="14"/>
  <c r="T16" i="14"/>
  <c r="T17" i="14"/>
  <c r="T18" i="14"/>
  <c r="T19" i="14"/>
  <c r="T6" i="14"/>
  <c r="T5" i="14"/>
  <c r="M5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E11" i="14"/>
  <c r="E10" i="14"/>
  <c r="E9" i="14"/>
  <c r="E8" i="14"/>
  <c r="E7" i="14"/>
  <c r="E6" i="14"/>
  <c r="E14" i="14"/>
  <c r="E5" i="14"/>
  <c r="Q5" i="14"/>
  <c r="M20" i="14" l="1"/>
  <c r="M21" i="14" s="1"/>
  <c r="B30" i="14"/>
  <c r="B29" i="14"/>
  <c r="E12" i="14"/>
  <c r="E13" i="14" s="1"/>
  <c r="B28" i="14"/>
  <c r="B27" i="14"/>
  <c r="B31" i="14"/>
  <c r="B26" i="14"/>
  <c r="B25" i="14"/>
  <c r="B32" i="14" l="1"/>
  <c r="M22" i="14"/>
</calcChain>
</file>

<file path=xl/sharedStrings.xml><?xml version="1.0" encoding="utf-8"?>
<sst xmlns="http://schemas.openxmlformats.org/spreadsheetml/2006/main" count="47" uniqueCount="28">
  <si>
    <t>*If in a group of three</t>
  </si>
  <si>
    <t>Nominal Annual Discount Rate</t>
  </si>
  <si>
    <t>Design A</t>
  </si>
  <si>
    <t>Design B</t>
  </si>
  <si>
    <t>Design C</t>
  </si>
  <si>
    <t>Year</t>
  </si>
  <si>
    <t>CapEx</t>
  </si>
  <si>
    <t>OpEx</t>
  </si>
  <si>
    <t>Monetized benefits</t>
  </si>
  <si>
    <t>Net cash flow</t>
  </si>
  <si>
    <t>PW</t>
  </si>
  <si>
    <t>AW</t>
  </si>
  <si>
    <t>You are expected to compare the two/three subsystem designs you and your partner(s) developed.</t>
  </si>
  <si>
    <t>Student: Shajijan Narendran</t>
  </si>
  <si>
    <t>Subsystem: Electrical</t>
  </si>
  <si>
    <t>Student: Jasvin Mand</t>
  </si>
  <si>
    <t>Student: Zihan Lin</t>
  </si>
  <si>
    <t>Design: Higher Performance, Higher Total Costs</t>
  </si>
  <si>
    <t>Design: Balanced Costs and Durability</t>
  </si>
  <si>
    <t>Design: Low Cost Design, Lower Lifespan</t>
  </si>
  <si>
    <t>IRR</t>
  </si>
  <si>
    <t>…</t>
  </si>
  <si>
    <t>Inflation Rate</t>
  </si>
  <si>
    <t>Cash Flow Difference Design C-Design A</t>
  </si>
  <si>
    <t>IRR of Cash Flow</t>
  </si>
  <si>
    <t>Introducing inflation and IRR reveals critical economic sensitivities regarding the "real" versus "nominal" growth of the project. The primary risk identified is reinvestment risk; an IRR of 72% (and an incremental IRR of 130%) assumes that the large cash flows generated in the early years (starting at over $59,000 in Year 2) can be reinvested into other projects. Furthermore, the results reveal a sensitivity to operating leverage because Design C is the only one where the magnitude of PW/AW increased, it suggests its benefits are structurally better positioned to act as an inflation hedge compared to Designs A and B.
Selected Primary Design: Design C (72% IRR)
Justification:
We are carrying forward Design C as the Primary Design. It is the only design that is economically viable, with a 72% IRR that improved after inflation was accounted for. While the magnitude of losses for Designs A and B worsened with inflation, Design C’s PW and AW increased, demonstrating that its benefit-to-cost ratio is resilient. The 130% incremental IRR further justifies this choice, showing that the extra capital spent on this design yields a return far exceeding any standard MARR, making it the most logical candidate for the upcoming detailed risk analysis.</t>
  </si>
  <si>
    <t xml:space="preserve">Exercise 3 Discussion:
IRR increased for all three designs when inflation was added, with values shifting from -43% to -41%, -21% to -19%, and 69% to 72%. This pattern suggests that the monteized benefits are more sensitive to inflationary growth than the costs. While the Present Worth (PW) and Annual Worth (AW) for Designs A and B decreased (becoming more negative), both metrics for Design C increased. This was because Design C was the only design that had an initially profitable PW and AW; asa result, the inflationary growth of the benefits outpaced the inflating costs.
The IRR results strongly support the conclusions drawn from the PW and AW analysis. The 130% incremental IRR (derived from the cash flow difference between the best and worst designs) confirms that the investment required for Design C is most profitable. The agreement between all three metrics (PW, AW, and IRR) provides a high level of confidence that the economic ranking of the alternatives is stable.
</t>
  </si>
  <si>
    <t>Exercise 4 Discussion:
Key Shared Assumptions
The group has aligned on a security system model requiring 24/7 uptime over a 15-year service life. Major cost drivers include hardware procurement and installation, annual electricity costs, and routine maintenance, with all designs requiring an on-site storage server. Implementation timing is standardized at less than one year, ensuring that capital outlays occur in Year 1 and system benefits begin in Year 2.
Interface Issues and Agreed Adjustments
A significant economic mismatch was identified between the Software and Electrical subsystems regarding labor requirements. The Software team’s model included the salary for a network engineer to manage the system, while the Electrical team assumed a completely autonomous operation with zero labor costs. To resolve this, the group agreed to adjust all models to a semi-autonomous assumption, replacing the full-time engineer with a standardized part-time service contract. This minor adjustment will be applied consistently across all alternatives to ensure an accurate and aligned comparison during the upcoming risk and sensitivity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</si>
</sst>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Arial Narrow"/>
      <family val="2"/>
    </font>
    <font>
      <sz val="12"/>
      <color theme="1"/>
      <name val="Arial Narrow"/>
      <family val="2"/>
    </font>
    <font>
      <sz val="12"/>
      <color rgb="FFEE0000"/>
      <name val="Arial Narrow"/>
      <family val="2"/>
    </font>
    <font>
      <b/>
      <sz val="11"/>
      <color theme="1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4" fillId="2" borderId="1" xfId="0" applyFont="1" applyFill="1" applyBorder="1" applyAlignment="1">
      <alignment horizontal="justify" vertical="center" wrapText="1"/>
    </xf>
    <xf numFmtId="6" fontId="6" fillId="0" borderId="1" xfId="0" applyNumberFormat="1" applyFont="1" applyBorder="1" applyAlignment="1">
      <alignment horizontal="left" vertical="center" wrapText="1"/>
    </xf>
    <xf numFmtId="6" fontId="5" fillId="0" borderId="1" xfId="0" applyNumberFormat="1" applyFont="1" applyBorder="1" applyAlignment="1">
      <alignment horizontal="left" vertical="center" wrapText="1"/>
    </xf>
    <xf numFmtId="8" fontId="0" fillId="0" borderId="1" xfId="1" applyNumberFormat="1" applyFont="1" applyBorder="1" applyAlignment="1">
      <alignment horizontal="right" vertical="center" wrapText="1"/>
    </xf>
    <xf numFmtId="0" fontId="0" fillId="3" borderId="1" xfId="0" applyFill="1" applyBorder="1"/>
    <xf numFmtId="8" fontId="0" fillId="3" borderId="1" xfId="0" applyNumberFormat="1" applyFill="1" applyBorder="1"/>
    <xf numFmtId="8" fontId="3" fillId="3" borderId="1" xfId="1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wrapText="1"/>
    </xf>
    <xf numFmtId="9" fontId="2" fillId="0" borderId="1" xfId="0" applyNumberFormat="1" applyFont="1" applyBorder="1"/>
    <xf numFmtId="9" fontId="0" fillId="0" borderId="0" xfId="0" applyNumberFormat="1"/>
    <xf numFmtId="8" fontId="0" fillId="0" borderId="0" xfId="0" applyNumberFormat="1"/>
    <xf numFmtId="0" fontId="2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wrapText="1"/>
    </xf>
    <xf numFmtId="6" fontId="9" fillId="0" borderId="1" xfId="0" applyNumberFormat="1" applyFont="1" applyBorder="1" applyAlignment="1">
      <alignment horizontal="left" vertical="center" wrapText="1"/>
    </xf>
    <xf numFmtId="6" fontId="6" fillId="0" borderId="2" xfId="0" applyNumberFormat="1" applyFont="1" applyBorder="1" applyAlignment="1">
      <alignment horizontal="right" vertical="center" wrapText="1"/>
    </xf>
    <xf numFmtId="6" fontId="5" fillId="0" borderId="1" xfId="0" applyNumberFormat="1" applyFont="1" applyBorder="1" applyAlignment="1">
      <alignment horizontal="right" vertical="center" wrapText="1"/>
    </xf>
    <xf numFmtId="6" fontId="6" fillId="0" borderId="1" xfId="0" applyNumberFormat="1" applyFont="1" applyBorder="1" applyAlignment="1">
      <alignment horizontal="right" vertical="center" wrapText="1"/>
    </xf>
    <xf numFmtId="8" fontId="6" fillId="0" borderId="1" xfId="0" applyNumberFormat="1" applyFont="1" applyBorder="1" applyAlignment="1">
      <alignment horizontal="right" vertical="center" wrapText="1"/>
    </xf>
    <xf numFmtId="6" fontId="8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/>
    <xf numFmtId="10" fontId="0" fillId="0" borderId="1" xfId="0" applyNumberFormat="1" applyBorder="1"/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cash flow Design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'PW AW Comparison'!$E$4</c:f>
              <c:strCache>
                <c:ptCount val="1"/>
                <c:pt idx="0">
                  <c:v>Net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'PW AW Comparison'!$E$5:$E$11</c:f>
              <c:numCache>
                <c:formatCode>"$"#,##0.00_);[Red]\("$"#,##0.00\)</c:formatCode>
                <c:ptCount val="7"/>
                <c:pt idx="0">
                  <c:v>-40349.583359999997</c:v>
                </c:pt>
                <c:pt idx="1">
                  <c:v>657.57249535999995</c:v>
                </c:pt>
                <c:pt idx="2">
                  <c:v>673.35423524864007</c:v>
                </c:pt>
                <c:pt idx="3">
                  <c:v>689.51473689460738</c:v>
                </c:pt>
                <c:pt idx="4">
                  <c:v>706.06309058007798</c:v>
                </c:pt>
                <c:pt idx="5">
                  <c:v>723.00860475399975</c:v>
                </c:pt>
                <c:pt idx="6">
                  <c:v>740.36081126809586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D-417F-AE33-592CE7290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1746239"/>
        <c:axId val="2031748159"/>
      </c:barChart>
      <c:catAx>
        <c:axId val="2031746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748159"/>
        <c:crosses val="autoZero"/>
        <c:auto val="1"/>
        <c:lblAlgn val="ctr"/>
        <c:lblOffset val="100"/>
        <c:tickLblSkip val="1"/>
        <c:noMultiLvlLbl val="0"/>
      </c:catAx>
      <c:valAx>
        <c:axId val="20317481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crossAx val="203174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cash flow Design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'PW AW Comparison'!$M$4</c:f>
              <c:strCache>
                <c:ptCount val="1"/>
                <c:pt idx="0">
                  <c:v>Net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'PW AW Comparison'!$M$5:$M$19</c:f>
              <c:numCache>
                <c:formatCode>"$"#,##0_);[Red]\("$"#,##0\)</c:formatCode>
                <c:ptCount val="15"/>
                <c:pt idx="0">
                  <c:v>-1804575.7439999999</c:v>
                </c:pt>
                <c:pt idx="1">
                  <c:v>31005.343743999998</c:v>
                </c:pt>
                <c:pt idx="2">
                  <c:v>31749.471993856001</c:v>
                </c:pt>
                <c:pt idx="3">
                  <c:v>-65996.53618981273</c:v>
                </c:pt>
                <c:pt idx="4">
                  <c:v>33291.734345429555</c:v>
                </c:pt>
                <c:pt idx="5">
                  <c:v>34090.735969719855</c:v>
                </c:pt>
                <c:pt idx="6">
                  <c:v>34908.913632993135</c:v>
                </c:pt>
                <c:pt idx="7">
                  <c:v>-72563.958933638685</c:v>
                </c:pt>
                <c:pt idx="8">
                  <c:v>36604.649021629404</c:v>
                </c:pt>
                <c:pt idx="9">
                  <c:v>37483.160598148512</c:v>
                </c:pt>
                <c:pt idx="10">
                  <c:v>38382.75645250408</c:v>
                </c:pt>
                <c:pt idx="11">
                  <c:v>-79784.916604995888</c:v>
                </c:pt>
                <c:pt idx="12">
                  <c:v>40247.237229940918</c:v>
                </c:pt>
                <c:pt idx="13">
                  <c:v>41213.170923459496</c:v>
                </c:pt>
                <c:pt idx="14">
                  <c:v>42202.287025622529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F-4585-AE70-350A42035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1746239"/>
        <c:axId val="2031748159"/>
      </c:barChart>
      <c:catAx>
        <c:axId val="2031746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748159"/>
        <c:crosses val="autoZero"/>
        <c:auto val="1"/>
        <c:lblAlgn val="ctr"/>
        <c:lblOffset val="100"/>
        <c:tickLblSkip val="1"/>
        <c:noMultiLvlLbl val="0"/>
      </c:catAx>
      <c:valAx>
        <c:axId val="20317481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crossAx val="203174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cash flow Design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'PW AW Comparison'!$T$4</c:f>
              <c:strCache>
                <c:ptCount val="1"/>
                <c:pt idx="0">
                  <c:v>Net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'PW AW Comparison'!$T$5:$T$19</c:f>
              <c:numCache>
                <c:formatCode>"$"#,##0_);[Red]\("$"#,##0\)</c:formatCode>
                <c:ptCount val="15"/>
                <c:pt idx="0">
                  <c:v>-87040</c:v>
                </c:pt>
                <c:pt idx="1">
                  <c:v>60473.475071999994</c:v>
                </c:pt>
                <c:pt idx="2">
                  <c:v>61924.838473728007</c:v>
                </c:pt>
                <c:pt idx="3">
                  <c:v>63411.034597097474</c:v>
                </c:pt>
                <c:pt idx="4">
                  <c:v>64932.899427427816</c:v>
                </c:pt>
                <c:pt idx="5">
                  <c:v>66491.289013686066</c:v>
                </c:pt>
                <c:pt idx="6">
                  <c:v>68087.079950014551</c:v>
                </c:pt>
                <c:pt idx="7">
                  <c:v>69721.16986881489</c:v>
                </c:pt>
                <c:pt idx="8">
                  <c:v>71394.47794566644</c:v>
                </c:pt>
                <c:pt idx="9">
                  <c:v>73107.945416362432</c:v>
                </c:pt>
                <c:pt idx="10">
                  <c:v>74862.536106355154</c:v>
                </c:pt>
                <c:pt idx="11">
                  <c:v>76659.23697290766</c:v>
                </c:pt>
                <c:pt idx="12">
                  <c:v>78499.058660257448</c:v>
                </c:pt>
                <c:pt idx="13">
                  <c:v>80383.036068103625</c:v>
                </c:pt>
                <c:pt idx="14">
                  <c:v>82312.228933738123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88-4813-99E3-22357FB52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1746239"/>
        <c:axId val="2031748159"/>
      </c:barChart>
      <c:catAx>
        <c:axId val="2031746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748159"/>
        <c:crosses val="autoZero"/>
        <c:auto val="1"/>
        <c:lblAlgn val="ctr"/>
        <c:lblOffset val="100"/>
        <c:tickLblSkip val="1"/>
        <c:noMultiLvlLbl val="0"/>
      </c:catAx>
      <c:valAx>
        <c:axId val="20317481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crossAx val="203174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15875</xdr:colOff>
      <xdr:row>3</xdr:row>
      <xdr:rowOff>131761</xdr:rowOff>
    </xdr:from>
    <xdr:to>
      <xdr:col>30</xdr:col>
      <xdr:colOff>228600</xdr:colOff>
      <xdr:row>16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7224F3-5C12-810C-38AE-3E4662B4A3D1}"/>
            </a:ext>
            <a:ext uri="{147F2762-F138-4A5C-976F-8EAC2B608ADB}">
              <a16:predDERef xmlns:a16="http://schemas.microsoft.com/office/drawing/2014/main" pred="{BB4ABB7B-A212-DE5D-95EA-702EE4083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247650</xdr:colOff>
      <xdr:row>17</xdr:row>
      <xdr:rowOff>47625</xdr:rowOff>
    </xdr:from>
    <xdr:to>
      <xdr:col>31</xdr:col>
      <xdr:colOff>276225</xdr:colOff>
      <xdr:row>32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081EE1-5CE8-4C07-BF4C-06E29C3CAF83}"/>
            </a:ext>
            <a:ext uri="{147F2762-F138-4A5C-976F-8EAC2B608ADB}">
              <a16:predDERef xmlns:a16="http://schemas.microsoft.com/office/drawing/2014/main" pred="{8F7224F3-5C12-810C-38AE-3E4662B4A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352425</xdr:colOff>
      <xdr:row>34</xdr:row>
      <xdr:rowOff>57150</xdr:rowOff>
    </xdr:from>
    <xdr:to>
      <xdr:col>31</xdr:col>
      <xdr:colOff>314325</xdr:colOff>
      <xdr:row>51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54078D-CFD5-4B2B-B3C1-0EB51EA2BC2E}"/>
            </a:ext>
            <a:ext uri="{147F2762-F138-4A5C-976F-8EAC2B608ADB}">
              <a16:predDERef xmlns:a16="http://schemas.microsoft.com/office/drawing/2014/main" pred="{1F081EE1-5CE8-4C07-BF4C-06E29C3CA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16AE-3926-464E-81B9-CD6B4977DFCE}">
  <dimension ref="A1:T60"/>
  <sheetViews>
    <sheetView tabSelected="1" zoomScale="65" zoomScaleNormal="69" workbookViewId="0">
      <selection activeCell="P3" sqref="P3:T22"/>
    </sheetView>
  </sheetViews>
  <sheetFormatPr defaultRowHeight="15" x14ac:dyDescent="0.25"/>
  <cols>
    <col min="1" max="1" width="15.42578125" customWidth="1"/>
    <col min="2" max="2" width="15.28515625" customWidth="1"/>
    <col min="3" max="3" width="11.85546875" bestFit="1" customWidth="1"/>
    <col min="4" max="4" width="9.5703125" bestFit="1" customWidth="1"/>
    <col min="5" max="5" width="13.140625" bestFit="1" customWidth="1"/>
    <col min="7" max="7" width="8.42578125" customWidth="1"/>
    <col min="10" max="10" width="16.28515625" customWidth="1"/>
    <col min="11" max="11" width="13" customWidth="1"/>
    <col min="12" max="12" width="11.28515625" customWidth="1"/>
    <col min="13" max="13" width="17" customWidth="1"/>
    <col min="15" max="15" width="11.42578125" customWidth="1"/>
    <col min="16" max="16" width="18" customWidth="1"/>
    <col min="17" max="17" width="16" customWidth="1"/>
    <col min="18" max="18" width="10.42578125" customWidth="1"/>
    <col min="20" max="20" width="14.5703125" customWidth="1"/>
  </cols>
  <sheetData>
    <row r="1" spans="1:20" ht="66" x14ac:dyDescent="0.3">
      <c r="A1" s="1" t="s">
        <v>16</v>
      </c>
      <c r="B1" s="18" t="s">
        <v>14</v>
      </c>
      <c r="C1" s="1" t="s">
        <v>19</v>
      </c>
      <c r="I1" s="18" t="s">
        <v>13</v>
      </c>
      <c r="J1" s="1" t="s">
        <v>14</v>
      </c>
      <c r="K1" s="1" t="s">
        <v>17</v>
      </c>
      <c r="P1" s="1" t="s">
        <v>15</v>
      </c>
      <c r="Q1" s="1" t="s">
        <v>14</v>
      </c>
      <c r="R1" s="1" t="s">
        <v>18</v>
      </c>
    </row>
    <row r="2" spans="1:20" ht="42.6" customHeight="1" x14ac:dyDescent="0.3">
      <c r="A2" s="1"/>
      <c r="B2" s="1"/>
      <c r="C2" s="1"/>
      <c r="O2" s="16"/>
      <c r="P2" s="17" t="s">
        <v>0</v>
      </c>
      <c r="Q2" s="1"/>
    </row>
    <row r="3" spans="1:20" x14ac:dyDescent="0.25">
      <c r="A3" t="s">
        <v>2</v>
      </c>
      <c r="I3" t="s">
        <v>3</v>
      </c>
      <c r="P3" t="s">
        <v>4</v>
      </c>
    </row>
    <row r="4" spans="1:20" ht="45" x14ac:dyDescent="0.25">
      <c r="A4" s="2" t="s">
        <v>5</v>
      </c>
      <c r="B4" s="3" t="s">
        <v>6</v>
      </c>
      <c r="C4" s="3" t="s">
        <v>7</v>
      </c>
      <c r="D4" s="3" t="s">
        <v>8</v>
      </c>
      <c r="E4" s="3" t="s">
        <v>9</v>
      </c>
      <c r="I4" s="5" t="s">
        <v>5</v>
      </c>
      <c r="J4" s="3" t="s">
        <v>6</v>
      </c>
      <c r="K4" s="3" t="s">
        <v>7</v>
      </c>
      <c r="L4" s="3" t="s">
        <v>8</v>
      </c>
      <c r="M4" s="3" t="s">
        <v>9</v>
      </c>
      <c r="P4" s="5" t="s">
        <v>5</v>
      </c>
      <c r="Q4" s="3" t="s">
        <v>6</v>
      </c>
      <c r="R4" s="3" t="s">
        <v>7</v>
      </c>
      <c r="S4" s="3" t="s">
        <v>8</v>
      </c>
      <c r="T4" s="3" t="s">
        <v>9</v>
      </c>
    </row>
    <row r="5" spans="1:20" ht="16.5" thickBot="1" x14ac:dyDescent="0.3">
      <c r="A5" s="4">
        <v>1</v>
      </c>
      <c r="B5" s="8">
        <v>-40031</v>
      </c>
      <c r="C5" s="8">
        <v>-578.12</v>
      </c>
      <c r="D5" s="8">
        <v>1205.23</v>
      </c>
      <c r="E5" s="8">
        <f t="shared" ref="E5:E11" si="0">(D5+C5+B5)*(1+$B$19)^A5</f>
        <v>-40349.583359999997</v>
      </c>
      <c r="G5" s="15"/>
      <c r="I5" s="5">
        <v>1</v>
      </c>
      <c r="J5" s="20">
        <v>-1791850</v>
      </c>
      <c r="K5" s="22">
        <v>-47280</v>
      </c>
      <c r="L5" s="21">
        <v>76849</v>
      </c>
      <c r="M5" s="6">
        <f t="shared" ref="M5:M19" si="1">(L5+K5+J5)*(1+$B$19)^I5</f>
        <v>-1804575.7439999999</v>
      </c>
      <c r="P5" s="5">
        <v>1</v>
      </c>
      <c r="Q5" s="6">
        <f>-55000</f>
        <v>-55000</v>
      </c>
      <c r="R5" s="6">
        <v>-30000</v>
      </c>
      <c r="S5" s="7">
        <v>0</v>
      </c>
      <c r="T5" s="6">
        <f>(S5+R5+Q5)*(1+$B$19)^P5</f>
        <v>-87040</v>
      </c>
    </row>
    <row r="6" spans="1:20" ht="15.75" x14ac:dyDescent="0.25">
      <c r="A6" s="4">
        <v>2</v>
      </c>
      <c r="B6" s="8">
        <v>0</v>
      </c>
      <c r="C6" s="8">
        <v>-578.12</v>
      </c>
      <c r="D6" s="8">
        <v>1205.23</v>
      </c>
      <c r="E6" s="8">
        <f t="shared" si="0"/>
        <v>657.57249535999995</v>
      </c>
      <c r="G6" s="15"/>
      <c r="I6" s="5">
        <v>2</v>
      </c>
      <c r="J6" s="21">
        <v>0</v>
      </c>
      <c r="K6" s="22">
        <v>-47280</v>
      </c>
      <c r="L6" s="21">
        <v>76849</v>
      </c>
      <c r="M6" s="24">
        <f t="shared" si="1"/>
        <v>31005.343743999998</v>
      </c>
      <c r="P6" s="5">
        <v>2</v>
      </c>
      <c r="Q6" s="7">
        <v>0</v>
      </c>
      <c r="R6" s="6">
        <v>-30000</v>
      </c>
      <c r="S6" s="7">
        <v>87672</v>
      </c>
      <c r="T6" s="19">
        <f>(S6+R6+Q6)*(1+$B$19)^P6</f>
        <v>60473.475071999994</v>
      </c>
    </row>
    <row r="7" spans="1:20" ht="15.75" x14ac:dyDescent="0.25">
      <c r="A7" s="4">
        <v>3</v>
      </c>
      <c r="B7" s="8">
        <v>0</v>
      </c>
      <c r="C7" s="8">
        <v>-578.12</v>
      </c>
      <c r="D7" s="8">
        <v>1205.23</v>
      </c>
      <c r="E7" s="8">
        <f t="shared" si="0"/>
        <v>673.35423524864007</v>
      </c>
      <c r="G7" s="15"/>
      <c r="I7" s="5">
        <v>3</v>
      </c>
      <c r="J7" s="21">
        <v>0</v>
      </c>
      <c r="K7" s="22">
        <v>-47280</v>
      </c>
      <c r="L7" s="21">
        <v>76849</v>
      </c>
      <c r="M7" s="24">
        <f t="shared" si="1"/>
        <v>31749.471993856001</v>
      </c>
      <c r="P7" s="5">
        <v>3</v>
      </c>
      <c r="Q7" s="7">
        <v>0</v>
      </c>
      <c r="R7" s="6">
        <v>-30000</v>
      </c>
      <c r="S7" s="7">
        <v>87672</v>
      </c>
      <c r="T7" s="19">
        <f t="shared" ref="T7:T19" si="2">(S7+R7+Q7)*(1+$B$19)^P7</f>
        <v>61924.838473728007</v>
      </c>
    </row>
    <row r="8" spans="1:20" ht="15.75" x14ac:dyDescent="0.25">
      <c r="A8" s="4">
        <v>4</v>
      </c>
      <c r="B8" s="8">
        <v>0</v>
      </c>
      <c r="C8" s="8">
        <v>-578.12</v>
      </c>
      <c r="D8" s="8">
        <v>1205.23</v>
      </c>
      <c r="E8" s="8">
        <f t="shared" si="0"/>
        <v>689.51473689460738</v>
      </c>
      <c r="G8" s="15"/>
      <c r="I8" s="5">
        <v>4</v>
      </c>
      <c r="J8" s="21">
        <v>0</v>
      </c>
      <c r="K8" s="23">
        <v>-136872.5</v>
      </c>
      <c r="L8" s="21">
        <v>76849</v>
      </c>
      <c r="M8" s="22">
        <f t="shared" si="1"/>
        <v>-65996.53618981273</v>
      </c>
      <c r="P8" s="5">
        <v>4</v>
      </c>
      <c r="Q8" s="7">
        <v>0</v>
      </c>
      <c r="R8" s="6">
        <v>-30000</v>
      </c>
      <c r="S8" s="7">
        <v>87672</v>
      </c>
      <c r="T8" s="19">
        <f t="shared" si="2"/>
        <v>63411.034597097474</v>
      </c>
    </row>
    <row r="9" spans="1:20" ht="15.75" x14ac:dyDescent="0.25">
      <c r="A9" s="4">
        <v>5</v>
      </c>
      <c r="B9" s="8">
        <v>0</v>
      </c>
      <c r="C9" s="8">
        <v>-578.12</v>
      </c>
      <c r="D9" s="8">
        <v>1205.23</v>
      </c>
      <c r="E9" s="8">
        <f t="shared" si="0"/>
        <v>706.06309058007798</v>
      </c>
      <c r="G9" s="15"/>
      <c r="I9" s="5">
        <v>5</v>
      </c>
      <c r="J9" s="21">
        <v>0</v>
      </c>
      <c r="K9" s="22">
        <v>-47280</v>
      </c>
      <c r="L9" s="21">
        <v>76849</v>
      </c>
      <c r="M9" s="24">
        <f t="shared" si="1"/>
        <v>33291.734345429555</v>
      </c>
      <c r="P9" s="5">
        <v>5</v>
      </c>
      <c r="Q9" s="7">
        <v>0</v>
      </c>
      <c r="R9" s="6">
        <v>-30000</v>
      </c>
      <c r="S9" s="7">
        <v>87672</v>
      </c>
      <c r="T9" s="19">
        <f t="shared" si="2"/>
        <v>64932.899427427816</v>
      </c>
    </row>
    <row r="10" spans="1:20" ht="15.75" x14ac:dyDescent="0.25">
      <c r="A10" s="4">
        <v>6</v>
      </c>
      <c r="B10" s="8">
        <v>0</v>
      </c>
      <c r="C10" s="8">
        <v>-578.12</v>
      </c>
      <c r="D10" s="8">
        <v>1205.23</v>
      </c>
      <c r="E10" s="8">
        <f t="shared" si="0"/>
        <v>723.00860475399975</v>
      </c>
      <c r="G10" s="15"/>
      <c r="I10" s="5">
        <v>6</v>
      </c>
      <c r="J10" s="21">
        <v>0</v>
      </c>
      <c r="K10" s="22">
        <v>-47280</v>
      </c>
      <c r="L10" s="21">
        <v>76849</v>
      </c>
      <c r="M10" s="24">
        <f t="shared" si="1"/>
        <v>34090.735969719855</v>
      </c>
      <c r="P10" s="5">
        <v>6</v>
      </c>
      <c r="Q10" s="7">
        <v>0</v>
      </c>
      <c r="R10" s="6">
        <v>-30000</v>
      </c>
      <c r="S10" s="7">
        <v>87672</v>
      </c>
      <c r="T10" s="19">
        <f t="shared" si="2"/>
        <v>66491.289013686066</v>
      </c>
    </row>
    <row r="11" spans="1:20" ht="15.75" x14ac:dyDescent="0.25">
      <c r="A11" s="4">
        <v>7</v>
      </c>
      <c r="B11" s="8">
        <v>0</v>
      </c>
      <c r="C11" s="8">
        <v>-578.12</v>
      </c>
      <c r="D11" s="8">
        <v>1205.23</v>
      </c>
      <c r="E11" s="8">
        <f t="shared" si="0"/>
        <v>740.36081126809586</v>
      </c>
      <c r="G11" s="15"/>
      <c r="I11" s="5">
        <v>7</v>
      </c>
      <c r="J11" s="21">
        <v>0</v>
      </c>
      <c r="K11" s="22">
        <v>-47280</v>
      </c>
      <c r="L11" s="21">
        <v>76849</v>
      </c>
      <c r="M11" s="24">
        <f t="shared" si="1"/>
        <v>34908.913632993135</v>
      </c>
      <c r="P11" s="5">
        <v>7</v>
      </c>
      <c r="Q11" s="7">
        <v>0</v>
      </c>
      <c r="R11" s="6">
        <v>-30000</v>
      </c>
      <c r="S11" s="7">
        <v>87672</v>
      </c>
      <c r="T11" s="19">
        <f t="shared" si="2"/>
        <v>68087.079950014551</v>
      </c>
    </row>
    <row r="12" spans="1:20" ht="15.75" x14ac:dyDescent="0.25">
      <c r="D12" s="9" t="s">
        <v>10</v>
      </c>
      <c r="E12" s="10">
        <f xml:space="preserve"> NPV(B18,E5:E11)</f>
        <v>-34613.612691441434</v>
      </c>
      <c r="G12" s="14"/>
      <c r="I12" s="5">
        <v>8</v>
      </c>
      <c r="J12" s="21">
        <v>0</v>
      </c>
      <c r="K12" s="23">
        <v>-136872.5</v>
      </c>
      <c r="L12" s="21">
        <v>76849</v>
      </c>
      <c r="M12" s="22">
        <f t="shared" si="1"/>
        <v>-72563.958933638685</v>
      </c>
      <c r="P12" s="5">
        <v>8</v>
      </c>
      <c r="Q12" s="7">
        <v>0</v>
      </c>
      <c r="R12" s="6">
        <v>-30000</v>
      </c>
      <c r="S12" s="7">
        <v>87672</v>
      </c>
      <c r="T12" s="19">
        <f t="shared" si="2"/>
        <v>69721.16986881489</v>
      </c>
    </row>
    <row r="13" spans="1:20" ht="15.75" x14ac:dyDescent="0.25">
      <c r="D13" s="9" t="s">
        <v>11</v>
      </c>
      <c r="E13" s="11">
        <f>PMT(B18, 7, -E12)</f>
        <v>-6422.6672779629171</v>
      </c>
      <c r="I13" s="5">
        <v>9</v>
      </c>
      <c r="J13" s="21">
        <v>0</v>
      </c>
      <c r="K13" s="22">
        <v>-47280</v>
      </c>
      <c r="L13" s="21">
        <v>76849</v>
      </c>
      <c r="M13" s="24">
        <f t="shared" si="1"/>
        <v>36604.649021629404</v>
      </c>
      <c r="P13" s="5">
        <v>9</v>
      </c>
      <c r="Q13" s="7">
        <v>0</v>
      </c>
      <c r="R13" s="6">
        <v>-30000</v>
      </c>
      <c r="S13" s="7">
        <v>87672</v>
      </c>
      <c r="T13" s="19">
        <f t="shared" si="2"/>
        <v>71394.47794566644</v>
      </c>
    </row>
    <row r="14" spans="1:20" ht="15.75" x14ac:dyDescent="0.25">
      <c r="D14" t="s">
        <v>20</v>
      </c>
      <c r="E14" s="14">
        <f>IRR(E5:E11)</f>
        <v>-0.4113608463194014</v>
      </c>
      <c r="I14" s="5">
        <v>10</v>
      </c>
      <c r="J14" s="21">
        <v>0</v>
      </c>
      <c r="K14" s="22">
        <v>-47280</v>
      </c>
      <c r="L14" s="21">
        <v>76849</v>
      </c>
      <c r="M14" s="24">
        <f t="shared" si="1"/>
        <v>37483.160598148512</v>
      </c>
      <c r="P14" s="5">
        <v>10</v>
      </c>
      <c r="Q14" s="7">
        <v>0</v>
      </c>
      <c r="R14" s="6">
        <v>-30000</v>
      </c>
      <c r="S14" s="7">
        <v>87672</v>
      </c>
      <c r="T14" s="19">
        <f t="shared" si="2"/>
        <v>73107.945416362432</v>
      </c>
    </row>
    <row r="15" spans="1:20" ht="15.75" x14ac:dyDescent="0.25">
      <c r="I15" s="5">
        <v>11</v>
      </c>
      <c r="J15" s="21">
        <v>0</v>
      </c>
      <c r="K15" s="22">
        <v>-47280</v>
      </c>
      <c r="L15" s="21">
        <v>76849</v>
      </c>
      <c r="M15" s="24">
        <f t="shared" si="1"/>
        <v>38382.75645250408</v>
      </c>
      <c r="P15" s="5">
        <v>11</v>
      </c>
      <c r="Q15" s="7">
        <v>0</v>
      </c>
      <c r="R15" s="6">
        <v>-30000</v>
      </c>
      <c r="S15" s="7">
        <v>87672</v>
      </c>
      <c r="T15" s="19">
        <f t="shared" si="2"/>
        <v>74862.536106355154</v>
      </c>
    </row>
    <row r="16" spans="1:20" ht="15.75" x14ac:dyDescent="0.25">
      <c r="I16" s="5">
        <v>12</v>
      </c>
      <c r="J16" s="21">
        <v>0</v>
      </c>
      <c r="K16" s="23">
        <v>-136872.5</v>
      </c>
      <c r="L16" s="21">
        <v>76849</v>
      </c>
      <c r="M16" s="22">
        <f t="shared" si="1"/>
        <v>-79784.916604995888</v>
      </c>
      <c r="P16" s="5">
        <v>12</v>
      </c>
      <c r="Q16" s="7">
        <v>0</v>
      </c>
      <c r="R16" s="6">
        <v>-30000</v>
      </c>
      <c r="S16" s="7">
        <v>87672</v>
      </c>
      <c r="T16" s="19">
        <f t="shared" si="2"/>
        <v>76659.23697290766</v>
      </c>
    </row>
    <row r="17" spans="1:20" ht="15.75" x14ac:dyDescent="0.25">
      <c r="I17" s="5">
        <v>13</v>
      </c>
      <c r="J17" s="21">
        <v>0</v>
      </c>
      <c r="K17" s="22">
        <v>-47280</v>
      </c>
      <c r="L17" s="21">
        <v>76849</v>
      </c>
      <c r="M17" s="24">
        <f t="shared" si="1"/>
        <v>40247.237229940918</v>
      </c>
      <c r="P17" s="5">
        <v>13</v>
      </c>
      <c r="Q17" s="7">
        <v>0</v>
      </c>
      <c r="R17" s="6">
        <v>-30000</v>
      </c>
      <c r="S17" s="7">
        <v>87672</v>
      </c>
      <c r="T17" s="19">
        <f t="shared" si="2"/>
        <v>78499.058660257448</v>
      </c>
    </row>
    <row r="18" spans="1:20" ht="30" x14ac:dyDescent="0.25">
      <c r="A18" s="12" t="s">
        <v>1</v>
      </c>
      <c r="B18" s="13">
        <v>7.0000000000000007E-2</v>
      </c>
      <c r="I18" s="5">
        <v>14</v>
      </c>
      <c r="J18" s="21">
        <v>0</v>
      </c>
      <c r="K18" s="22">
        <v>-47280</v>
      </c>
      <c r="L18" s="21">
        <v>76849</v>
      </c>
      <c r="M18" s="24">
        <f t="shared" si="1"/>
        <v>41213.170923459496</v>
      </c>
      <c r="P18" s="5">
        <v>14</v>
      </c>
      <c r="Q18" s="7">
        <v>0</v>
      </c>
      <c r="R18" s="6">
        <v>-30000</v>
      </c>
      <c r="S18" s="7">
        <v>87672</v>
      </c>
      <c r="T18" s="19">
        <f t="shared" si="2"/>
        <v>80383.036068103625</v>
      </c>
    </row>
    <row r="19" spans="1:20" ht="15.75" x14ac:dyDescent="0.25">
      <c r="A19" s="25" t="s">
        <v>22</v>
      </c>
      <c r="B19" s="26">
        <v>2.4E-2</v>
      </c>
      <c r="I19" s="5">
        <v>15</v>
      </c>
      <c r="J19" s="21">
        <v>0</v>
      </c>
      <c r="K19" s="22">
        <v>-47280</v>
      </c>
      <c r="L19" s="21">
        <v>76849</v>
      </c>
      <c r="M19" s="24">
        <f t="shared" si="1"/>
        <v>42202.287025622529</v>
      </c>
      <c r="P19" s="5">
        <v>15</v>
      </c>
      <c r="Q19" s="7">
        <v>0</v>
      </c>
      <c r="R19" s="6">
        <v>-30000</v>
      </c>
      <c r="S19" s="7">
        <v>87672</v>
      </c>
      <c r="T19" s="19">
        <f t="shared" si="2"/>
        <v>82312.228933738123</v>
      </c>
    </row>
    <row r="20" spans="1:20" x14ac:dyDescent="0.25">
      <c r="L20" s="9" t="s">
        <v>10</v>
      </c>
      <c r="M20" s="10">
        <f>NPV(B18, M5:M19)</f>
        <v>-1588154.9006863891</v>
      </c>
      <c r="S20" s="9" t="s">
        <v>10</v>
      </c>
      <c r="T20" s="10">
        <f xml:space="preserve"> NPV(B18,T5:T14)</f>
        <v>319979.18789779191</v>
      </c>
    </row>
    <row r="21" spans="1:20" x14ac:dyDescent="0.25">
      <c r="L21" s="9" t="s">
        <v>11</v>
      </c>
      <c r="M21" s="11">
        <f>PMT(B18, 15, -M20)</f>
        <v>-174370.87128792642</v>
      </c>
      <c r="S21" s="9" t="s">
        <v>11</v>
      </c>
      <c r="T21" s="11">
        <f>PMT(B18, 10, -T20)</f>
        <v>45557.837697617819</v>
      </c>
    </row>
    <row r="22" spans="1:20" ht="45" customHeight="1" x14ac:dyDescent="0.25">
      <c r="A22" s="27" t="s">
        <v>12</v>
      </c>
      <c r="B22" s="27"/>
      <c r="C22" s="27"/>
      <c r="D22" s="27"/>
      <c r="E22" s="27"/>
      <c r="L22" t="s">
        <v>20</v>
      </c>
      <c r="M22" s="14">
        <f>IRR(M5:M19)</f>
        <v>-0.18852271212165006</v>
      </c>
      <c r="S22" t="s">
        <v>20</v>
      </c>
      <c r="T22" s="14">
        <f>IRR(T5:T19)</f>
        <v>0.71828284529013153</v>
      </c>
    </row>
    <row r="23" spans="1:20" x14ac:dyDescent="0.25">
      <c r="T23" t="s">
        <v>21</v>
      </c>
    </row>
    <row r="24" spans="1:20" x14ac:dyDescent="0.25">
      <c r="A24" t="s">
        <v>5</v>
      </c>
      <c r="B24" t="s">
        <v>23</v>
      </c>
    </row>
    <row r="25" spans="1:20" x14ac:dyDescent="0.25">
      <c r="A25">
        <v>1</v>
      </c>
      <c r="B25" s="15">
        <f>T5-E5</f>
        <v>-46690.416640000003</v>
      </c>
    </row>
    <row r="26" spans="1:20" x14ac:dyDescent="0.25">
      <c r="A26">
        <v>2</v>
      </c>
      <c r="B26" s="15">
        <f t="shared" ref="B26:B31" si="3">T6-E6</f>
        <v>59815.902576639994</v>
      </c>
    </row>
    <row r="27" spans="1:20" x14ac:dyDescent="0.25">
      <c r="A27">
        <v>3</v>
      </c>
      <c r="B27" s="15">
        <f t="shared" si="3"/>
        <v>61251.484238479366</v>
      </c>
    </row>
    <row r="28" spans="1:20" x14ac:dyDescent="0.25">
      <c r="A28">
        <v>4</v>
      </c>
      <c r="B28" s="15">
        <f t="shared" si="3"/>
        <v>62721.519860202869</v>
      </c>
    </row>
    <row r="29" spans="1:20" x14ac:dyDescent="0.25">
      <c r="A29">
        <v>5</v>
      </c>
      <c r="B29" s="15">
        <f t="shared" si="3"/>
        <v>64226.836336847737</v>
      </c>
    </row>
    <row r="30" spans="1:20" x14ac:dyDescent="0.25">
      <c r="A30">
        <v>6</v>
      </c>
      <c r="B30" s="15">
        <f t="shared" si="3"/>
        <v>65768.280408932071</v>
      </c>
    </row>
    <row r="31" spans="1:20" ht="15" customHeight="1" x14ac:dyDescent="0.25">
      <c r="A31">
        <v>7</v>
      </c>
      <c r="B31" s="15">
        <f t="shared" si="3"/>
        <v>67346.719138746455</v>
      </c>
      <c r="E31" s="28" t="s">
        <v>26</v>
      </c>
      <c r="F31" s="29"/>
      <c r="G31" s="29"/>
      <c r="H31" s="29"/>
      <c r="I31" s="29"/>
      <c r="J31" s="29"/>
      <c r="K31" s="29"/>
      <c r="L31" s="30"/>
      <c r="M31" s="28" t="s">
        <v>27</v>
      </c>
      <c r="N31" s="29"/>
      <c r="O31" s="29"/>
      <c r="P31" s="29"/>
      <c r="Q31" s="29"/>
      <c r="R31" s="29"/>
      <c r="S31" s="29"/>
      <c r="T31" s="30"/>
    </row>
    <row r="32" spans="1:20" x14ac:dyDescent="0.25">
      <c r="A32" t="s">
        <v>24</v>
      </c>
      <c r="B32" s="14">
        <f>IRR(B25:B31)</f>
        <v>1.2950089459475311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</row>
    <row r="33" spans="5:20" x14ac:dyDescent="0.25"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</row>
    <row r="34" spans="5:20" x14ac:dyDescent="0.25"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</row>
    <row r="35" spans="5:20" x14ac:dyDescent="0.25"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</row>
    <row r="36" spans="5:20" x14ac:dyDescent="0.25"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</row>
    <row r="37" spans="5:20" x14ac:dyDescent="0.25"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</row>
    <row r="38" spans="5:20" x14ac:dyDescent="0.25"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</row>
    <row r="39" spans="5:20" x14ac:dyDescent="0.25"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</row>
    <row r="40" spans="5:20" x14ac:dyDescent="0.25"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</row>
    <row r="41" spans="5:20" x14ac:dyDescent="0.25"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</row>
    <row r="42" spans="5:20" x14ac:dyDescent="0.25"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</row>
    <row r="43" spans="5:20" x14ac:dyDescent="0.25"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</row>
    <row r="44" spans="5:20" x14ac:dyDescent="0.25"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</row>
    <row r="45" spans="5:20" x14ac:dyDescent="0.25">
      <c r="E45" s="34"/>
      <c r="F45" s="35"/>
      <c r="G45" s="35"/>
      <c r="H45" s="35"/>
      <c r="I45" s="35"/>
      <c r="J45" s="35"/>
      <c r="K45" s="35"/>
      <c r="L45" s="36"/>
      <c r="M45" s="34"/>
      <c r="N45" s="35"/>
      <c r="O45" s="35"/>
      <c r="P45" s="35"/>
      <c r="Q45" s="35"/>
      <c r="R45" s="35"/>
      <c r="S45" s="35"/>
      <c r="T45" s="36"/>
    </row>
    <row r="46" spans="5:20" x14ac:dyDescent="0.25">
      <c r="E46" s="28" t="s">
        <v>25</v>
      </c>
      <c r="F46" s="29"/>
      <c r="G46" s="29"/>
      <c r="H46" s="29"/>
      <c r="I46" s="29"/>
      <c r="J46" s="29"/>
      <c r="K46" s="29"/>
      <c r="L46" s="30"/>
    </row>
    <row r="47" spans="5:20" x14ac:dyDescent="0.25">
      <c r="E47" s="31"/>
      <c r="F47" s="32"/>
      <c r="G47" s="32"/>
      <c r="H47" s="32"/>
      <c r="I47" s="32"/>
      <c r="J47" s="32"/>
      <c r="K47" s="32"/>
      <c r="L47" s="33"/>
    </row>
    <row r="48" spans="5:20" x14ac:dyDescent="0.25">
      <c r="E48" s="31"/>
      <c r="F48" s="32"/>
      <c r="G48" s="32"/>
      <c r="H48" s="32"/>
      <c r="I48" s="32"/>
      <c r="J48" s="32"/>
      <c r="K48" s="32"/>
      <c r="L48" s="33"/>
    </row>
    <row r="49" spans="5:12" x14ac:dyDescent="0.25">
      <c r="E49" s="31"/>
      <c r="F49" s="32"/>
      <c r="G49" s="32"/>
      <c r="H49" s="32"/>
      <c r="I49" s="32"/>
      <c r="J49" s="32"/>
      <c r="K49" s="32"/>
      <c r="L49" s="33"/>
    </row>
    <row r="50" spans="5:12" x14ac:dyDescent="0.25">
      <c r="E50" s="31"/>
      <c r="F50" s="32"/>
      <c r="G50" s="32"/>
      <c r="H50" s="32"/>
      <c r="I50" s="32"/>
      <c r="J50" s="32"/>
      <c r="K50" s="32"/>
      <c r="L50" s="33"/>
    </row>
    <row r="51" spans="5:12" x14ac:dyDescent="0.25">
      <c r="E51" s="31"/>
      <c r="F51" s="32"/>
      <c r="G51" s="32"/>
      <c r="H51" s="32"/>
      <c r="I51" s="32"/>
      <c r="J51" s="32"/>
      <c r="K51" s="32"/>
      <c r="L51" s="33"/>
    </row>
    <row r="52" spans="5:12" x14ac:dyDescent="0.25">
      <c r="E52" s="31"/>
      <c r="F52" s="32"/>
      <c r="G52" s="32"/>
      <c r="H52" s="32"/>
      <c r="I52" s="32"/>
      <c r="J52" s="32"/>
      <c r="K52" s="32"/>
      <c r="L52" s="33"/>
    </row>
    <row r="53" spans="5:12" x14ac:dyDescent="0.25">
      <c r="E53" s="31"/>
      <c r="F53" s="32"/>
      <c r="G53" s="32"/>
      <c r="H53" s="32"/>
      <c r="I53" s="32"/>
      <c r="J53" s="32"/>
      <c r="K53" s="32"/>
      <c r="L53" s="33"/>
    </row>
    <row r="54" spans="5:12" x14ac:dyDescent="0.25">
      <c r="E54" s="31"/>
      <c r="F54" s="32"/>
      <c r="G54" s="32"/>
      <c r="H54" s="32"/>
      <c r="I54" s="32"/>
      <c r="J54" s="32"/>
      <c r="K54" s="32"/>
      <c r="L54" s="33"/>
    </row>
    <row r="55" spans="5:12" x14ac:dyDescent="0.25">
      <c r="E55" s="31"/>
      <c r="F55" s="32"/>
      <c r="G55" s="32"/>
      <c r="H55" s="32"/>
      <c r="I55" s="32"/>
      <c r="J55" s="32"/>
      <c r="K55" s="32"/>
      <c r="L55" s="33"/>
    </row>
    <row r="56" spans="5:12" x14ac:dyDescent="0.25">
      <c r="E56" s="31"/>
      <c r="F56" s="32"/>
      <c r="G56" s="32"/>
      <c r="H56" s="32"/>
      <c r="I56" s="32"/>
      <c r="J56" s="32"/>
      <c r="K56" s="32"/>
      <c r="L56" s="33"/>
    </row>
    <row r="57" spans="5:12" x14ac:dyDescent="0.25">
      <c r="E57" s="31"/>
      <c r="F57" s="32"/>
      <c r="G57" s="32"/>
      <c r="H57" s="32"/>
      <c r="I57" s="32"/>
      <c r="J57" s="32"/>
      <c r="K57" s="32"/>
      <c r="L57" s="33"/>
    </row>
    <row r="58" spans="5:12" x14ac:dyDescent="0.25">
      <c r="E58" s="31"/>
      <c r="F58" s="32"/>
      <c r="G58" s="32"/>
      <c r="H58" s="32"/>
      <c r="I58" s="32"/>
      <c r="J58" s="32"/>
      <c r="K58" s="32"/>
      <c r="L58" s="33"/>
    </row>
    <row r="59" spans="5:12" x14ac:dyDescent="0.25">
      <c r="E59" s="31"/>
      <c r="F59" s="32"/>
      <c r="G59" s="32"/>
      <c r="H59" s="32"/>
      <c r="I59" s="32"/>
      <c r="J59" s="32"/>
      <c r="K59" s="32"/>
      <c r="L59" s="33"/>
    </row>
    <row r="60" spans="5:12" x14ac:dyDescent="0.25">
      <c r="E60" s="34"/>
      <c r="F60" s="35"/>
      <c r="G60" s="35"/>
      <c r="H60" s="35"/>
      <c r="I60" s="35"/>
      <c r="J60" s="35"/>
      <c r="K60" s="35"/>
      <c r="L60" s="36"/>
    </row>
  </sheetData>
  <mergeCells count="4">
    <mergeCell ref="A22:E22"/>
    <mergeCell ref="E31:L45"/>
    <mergeCell ref="M31:T45"/>
    <mergeCell ref="E46:L6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C17E552CE50459814B45CAB38E643" ma:contentTypeVersion="16" ma:contentTypeDescription="Create a new document." ma:contentTypeScope="" ma:versionID="a2c4a0a3be967a154ef3fcd83466f29a">
  <xsd:schema xmlns:xsd="http://www.w3.org/2001/XMLSchema" xmlns:xs="http://www.w3.org/2001/XMLSchema" xmlns:p="http://schemas.microsoft.com/office/2006/metadata/properties" xmlns:ns2="006c7cb9-3c36-40e5-a5d9-86e0029a058a" xmlns:ns3="a5db53bf-fe91-4cb9-a657-3e0c4c7ee7a0" targetNamespace="http://schemas.microsoft.com/office/2006/metadata/properties" ma:root="true" ma:fieldsID="4cb9171e460dc7c1a5cf1b2c367a13c3" ns2:_="" ns3:_="">
    <xsd:import namespace="006c7cb9-3c36-40e5-a5d9-86e0029a058a"/>
    <xsd:import namespace="a5db53bf-fe91-4cb9-a657-3e0c4c7ee7a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c7cb9-3c36-40e5-a5d9-86e0029a05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c6cf274-fc21-4180-95bc-11d99ba0f523}" ma:internalName="TaxCatchAll" ma:showField="CatchAllData" ma:web="006c7cb9-3c36-40e5-a5d9-86e0029a0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b53bf-fe91-4cb9-a657-3e0c4c7ee7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073764d-e844-48d8-8cbc-d63b9d9528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6c7cb9-3c36-40e5-a5d9-86e0029a058a" xsi:nil="true"/>
    <lcf76f155ced4ddcb4097134ff3c332f xmlns="a5db53bf-fe91-4cb9-a657-3e0c4c7ee7a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85EB5F-2BA9-4881-A2DF-9DA3A72126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6c7cb9-3c36-40e5-a5d9-86e0029a058a"/>
    <ds:schemaRef ds:uri="a5db53bf-fe91-4cb9-a657-3e0c4c7ee7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FE64AE-A369-4EEB-8916-2CAECBDB78AF}">
  <ds:schemaRefs>
    <ds:schemaRef ds:uri="http://schemas.microsoft.com/office/2006/metadata/properties"/>
    <ds:schemaRef ds:uri="http://schemas.microsoft.com/office/infopath/2007/PartnerControls"/>
    <ds:schemaRef ds:uri="006c7cb9-3c36-40e5-a5d9-86e0029a058a"/>
    <ds:schemaRef ds:uri="a5db53bf-fe91-4cb9-a657-3e0c4c7ee7a0"/>
  </ds:schemaRefs>
</ds:datastoreItem>
</file>

<file path=customXml/itemProps3.xml><?xml version="1.0" encoding="utf-8"?>
<ds:datastoreItem xmlns:ds="http://schemas.openxmlformats.org/officeDocument/2006/customXml" ds:itemID="{98DC4FED-1847-4410-B188-B279FB52EC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 AW Comparison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Shajijan Narendran</cp:lastModifiedBy>
  <cp:revision/>
  <dcterms:created xsi:type="dcterms:W3CDTF">2025-09-23T15:37:39Z</dcterms:created>
  <dcterms:modified xsi:type="dcterms:W3CDTF">2026-03-25T02:25:05Z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0x01010069BC17E552CE50459814B45CAB38E643</vt:lpwstr>
  </property>
  <property fmtid="{D5CDD505-2E9C-101B-9397-08002B2CF9AE}" pid="3" name="MediaServiceImageTags">
    <vt:lpwstr/>
  </property>
</Properties>
</file>