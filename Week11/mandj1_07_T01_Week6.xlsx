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haji\Downloads\"/>
    </mc:Choice>
  </mc:AlternateContent>
  <xr:revisionPtr revIDLastSave="0" documentId="13_ncr:1_{6DC80B3A-EC9F-41A6-8A7A-3467CE8CF98D}" xr6:coauthVersionLast="47" xr6:coauthVersionMax="47" xr10:uidLastSave="{00000000-0000-0000-0000-000000000000}"/>
  <bookViews>
    <workbookView xWindow="11895" yWindow="0" windowWidth="12210" windowHeight="12885" xr2:uid="{00000000-000D-0000-FFFF-FFFF00000000}"/>
  </bookViews>
  <sheets>
    <sheet name="PW AW Comparison" sheetId="1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1" i="14" l="1"/>
  <c r="T20" i="14"/>
  <c r="E13" i="14"/>
  <c r="E12" i="14"/>
  <c r="M21" i="14"/>
  <c r="M20" i="14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5" i="14"/>
  <c r="E6" i="14"/>
  <c r="E7" i="14"/>
  <c r="E8" i="14"/>
  <c r="E9" i="14"/>
  <c r="E10" i="14"/>
  <c r="E11" i="14"/>
  <c r="E5" i="14"/>
  <c r="T7" i="14"/>
  <c r="T8" i="14"/>
  <c r="T9" i="14"/>
  <c r="T10" i="14"/>
  <c r="T11" i="14"/>
  <c r="T12" i="14"/>
  <c r="T13" i="14"/>
  <c r="T14" i="14"/>
  <c r="T6" i="14"/>
  <c r="T5" i="14"/>
  <c r="Q5" i="14"/>
</calcChain>
</file>

<file path=xl/sharedStrings.xml><?xml version="1.0" encoding="utf-8"?>
<sst xmlns="http://schemas.openxmlformats.org/spreadsheetml/2006/main" count="36" uniqueCount="20">
  <si>
    <t>*If in a group of three</t>
  </si>
  <si>
    <t>Nominal Annual Discount Rate</t>
  </si>
  <si>
    <t>Design A</t>
  </si>
  <si>
    <t>Design B</t>
  </si>
  <si>
    <t>Design C</t>
  </si>
  <si>
    <t>Year</t>
  </si>
  <si>
    <t>CapEx</t>
  </si>
  <si>
    <t>OpEx</t>
  </si>
  <si>
    <t>Monetized benefits</t>
  </si>
  <si>
    <t>Net cash flow</t>
  </si>
  <si>
    <t>PW</t>
  </si>
  <si>
    <t>AW</t>
  </si>
  <si>
    <t>You are expected to compare the two/three subsystem designs you and your partner(s) developed.</t>
  </si>
  <si>
    <t>Student: Shajijan Narendran</t>
  </si>
  <si>
    <t>Subsystem: Electrical</t>
  </si>
  <si>
    <t>Student: Jasvin Mand</t>
  </si>
  <si>
    <t>Student: Zihan Lin</t>
  </si>
  <si>
    <t>Design: Higher Performance, Higher Total Costs</t>
  </si>
  <si>
    <t>Design: Balanced Costs and Durability</t>
  </si>
  <si>
    <t>Design: Low Cost Design, Lower Lifespan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</si>
</sst>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Arial Narrow"/>
      <family val="2"/>
    </font>
    <font>
      <sz val="12"/>
      <color theme="1"/>
      <name val="Arial Narrow"/>
      <family val="2"/>
    </font>
    <font>
      <sz val="12"/>
      <color rgb="FFEE0000"/>
      <name val="Arial Narrow"/>
      <family val="2"/>
    </font>
    <font>
      <b/>
      <sz val="11"/>
      <color theme="1"/>
      <name val="Arial Narrow"/>
      <family val="2"/>
    </font>
    <font>
      <sz val="12"/>
      <name val="Arial Narrow"/>
      <family val="2"/>
    </font>
    <font>
      <b/>
      <sz val="12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7F7F7F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4" fillId="2" borderId="1" xfId="0" applyFont="1" applyFill="1" applyBorder="1" applyAlignment="1">
      <alignment horizontal="justify" vertical="center" wrapText="1"/>
    </xf>
    <xf numFmtId="6" fontId="6" fillId="0" borderId="1" xfId="0" applyNumberFormat="1" applyFont="1" applyBorder="1" applyAlignment="1">
      <alignment horizontal="left" vertical="center" wrapText="1"/>
    </xf>
    <xf numFmtId="6" fontId="5" fillId="0" borderId="1" xfId="0" applyNumberFormat="1" applyFont="1" applyBorder="1" applyAlignment="1">
      <alignment horizontal="left" vertical="center" wrapText="1"/>
    </xf>
    <xf numFmtId="8" fontId="0" fillId="0" borderId="1" xfId="1" applyNumberFormat="1" applyFont="1" applyBorder="1" applyAlignment="1">
      <alignment horizontal="right" vertical="center" wrapText="1"/>
    </xf>
    <xf numFmtId="0" fontId="0" fillId="3" borderId="1" xfId="0" applyFill="1" applyBorder="1"/>
    <xf numFmtId="8" fontId="0" fillId="3" borderId="1" xfId="0" applyNumberFormat="1" applyFill="1" applyBorder="1"/>
    <xf numFmtId="8" fontId="3" fillId="3" borderId="1" xfId="1" applyNumberFormat="1" applyFont="1" applyFill="1" applyBorder="1" applyAlignment="1">
      <alignment horizontal="right" vertical="center" wrapText="1"/>
    </xf>
    <xf numFmtId="0" fontId="2" fillId="0" borderId="1" xfId="0" applyFont="1" applyBorder="1" applyAlignment="1">
      <alignment wrapText="1"/>
    </xf>
    <xf numFmtId="9" fontId="2" fillId="0" borderId="1" xfId="0" applyNumberFormat="1" applyFont="1" applyBorder="1"/>
    <xf numFmtId="9" fontId="0" fillId="0" borderId="0" xfId="0" applyNumberFormat="1"/>
    <xf numFmtId="8" fontId="0" fillId="0" borderId="0" xfId="0" applyNumberFormat="1"/>
    <xf numFmtId="0" fontId="2" fillId="0" borderId="0" xfId="0" applyFont="1" applyAlignment="1">
      <alignment wrapText="1"/>
    </xf>
    <xf numFmtId="0" fontId="7" fillId="0" borderId="0" xfId="0" applyFont="1"/>
    <xf numFmtId="0" fontId="1" fillId="0" borderId="0" xfId="0" applyFont="1" applyAlignment="1">
      <alignment wrapText="1"/>
    </xf>
    <xf numFmtId="6" fontId="9" fillId="0" borderId="1" xfId="0" applyNumberFormat="1" applyFont="1" applyBorder="1" applyAlignment="1">
      <alignment horizontal="left" vertical="center" wrapText="1"/>
    </xf>
    <xf numFmtId="6" fontId="6" fillId="0" borderId="2" xfId="0" applyNumberFormat="1" applyFont="1" applyBorder="1" applyAlignment="1">
      <alignment horizontal="right" vertical="center" wrapText="1"/>
    </xf>
    <xf numFmtId="6" fontId="5" fillId="0" borderId="1" xfId="0" applyNumberFormat="1" applyFont="1" applyBorder="1" applyAlignment="1">
      <alignment horizontal="right" vertical="center" wrapText="1"/>
    </xf>
    <xf numFmtId="6" fontId="6" fillId="0" borderId="1" xfId="0" applyNumberFormat="1" applyFont="1" applyBorder="1" applyAlignment="1">
      <alignment horizontal="right" vertical="center" wrapText="1"/>
    </xf>
    <xf numFmtId="8" fontId="6" fillId="0" borderId="1" xfId="0" applyNumberFormat="1" applyFont="1" applyBorder="1" applyAlignment="1">
      <alignment horizontal="right" vertical="center" wrapText="1"/>
    </xf>
    <xf numFmtId="6" fontId="8" fillId="0" borderId="1" xfId="0" applyNumberFormat="1" applyFont="1" applyBorder="1" applyAlignment="1">
      <alignment horizontal="right" vertical="center" wrapText="1"/>
    </xf>
    <xf numFmtId="0" fontId="0" fillId="0" borderId="0" xfId="0" applyAlignment="1">
      <alignment horizontal="left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Medium9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cash flow Design 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'PW AW Comparison'!$E$4</c:f>
              <c:strCache>
                <c:ptCount val="1"/>
                <c:pt idx="0">
                  <c:v>Net cash flow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'PW AW Comparison'!$E$5:$E$11</c:f>
              <c:numCache>
                <c:formatCode>"$"#,##0.00_);[Red]\("$"#,##0.00\)</c:formatCode>
                <c:ptCount val="7"/>
                <c:pt idx="0">
                  <c:v>-39403.89</c:v>
                </c:pt>
                <c:pt idx="1">
                  <c:v>627.11</c:v>
                </c:pt>
                <c:pt idx="2">
                  <c:v>627.11</c:v>
                </c:pt>
                <c:pt idx="3">
                  <c:v>627.11</c:v>
                </c:pt>
                <c:pt idx="4">
                  <c:v>627.11</c:v>
                </c:pt>
                <c:pt idx="5">
                  <c:v>627.11</c:v>
                </c:pt>
                <c:pt idx="6">
                  <c:v>627.11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4D-417F-AE33-592CE7290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1746239"/>
        <c:axId val="2031748159"/>
      </c:barChart>
      <c:catAx>
        <c:axId val="20317462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748159"/>
        <c:crosses val="autoZero"/>
        <c:auto val="1"/>
        <c:lblAlgn val="ctr"/>
        <c:lblOffset val="100"/>
        <c:tickLblSkip val="1"/>
        <c:noMultiLvlLbl val="0"/>
      </c:catAx>
      <c:valAx>
        <c:axId val="203174815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crossAx val="2031746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cash flow Design 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'PW AW Comparison'!$M$4</c:f>
              <c:strCache>
                <c:ptCount val="1"/>
                <c:pt idx="0">
                  <c:v>Net cash flow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'PW AW Comparison'!$M$5:$M$19</c:f>
              <c:numCache>
                <c:formatCode>"$"#,##0_);[Red]\("$"#,##0\)</c:formatCode>
                <c:ptCount val="15"/>
                <c:pt idx="0">
                  <c:v>-1762281</c:v>
                </c:pt>
                <c:pt idx="1">
                  <c:v>29569</c:v>
                </c:pt>
                <c:pt idx="2">
                  <c:v>29569</c:v>
                </c:pt>
                <c:pt idx="3">
                  <c:v>-60023.5</c:v>
                </c:pt>
                <c:pt idx="4">
                  <c:v>29569</c:v>
                </c:pt>
                <c:pt idx="5">
                  <c:v>29569</c:v>
                </c:pt>
                <c:pt idx="6">
                  <c:v>29569</c:v>
                </c:pt>
                <c:pt idx="7">
                  <c:v>-60023.5</c:v>
                </c:pt>
                <c:pt idx="8">
                  <c:v>29569</c:v>
                </c:pt>
                <c:pt idx="9">
                  <c:v>29569</c:v>
                </c:pt>
                <c:pt idx="10">
                  <c:v>29569</c:v>
                </c:pt>
                <c:pt idx="11">
                  <c:v>-60023.5</c:v>
                </c:pt>
                <c:pt idx="12">
                  <c:v>29569</c:v>
                </c:pt>
                <c:pt idx="13">
                  <c:v>29569</c:v>
                </c:pt>
                <c:pt idx="14">
                  <c:v>29569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5F-4585-AE70-350A42035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1746239"/>
        <c:axId val="2031748159"/>
      </c:barChart>
      <c:catAx>
        <c:axId val="20317462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748159"/>
        <c:crosses val="autoZero"/>
        <c:auto val="1"/>
        <c:lblAlgn val="ctr"/>
        <c:lblOffset val="100"/>
        <c:tickLblSkip val="1"/>
        <c:noMultiLvlLbl val="0"/>
      </c:catAx>
      <c:valAx>
        <c:axId val="203174815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crossAx val="2031746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cash flow Design 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'PW AW Comparison'!$T$4</c:f>
              <c:strCache>
                <c:ptCount val="1"/>
                <c:pt idx="0">
                  <c:v>Net cash flow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'PW AW Comparison'!$T$5:$T$19</c:f>
              <c:numCache>
                <c:formatCode>"$"#,##0_);[Red]\("$"#,##0\)</c:formatCode>
                <c:ptCount val="15"/>
                <c:pt idx="0">
                  <c:v>-580000</c:v>
                </c:pt>
                <c:pt idx="1">
                  <c:v>55000</c:v>
                </c:pt>
                <c:pt idx="2">
                  <c:v>55000</c:v>
                </c:pt>
                <c:pt idx="3">
                  <c:v>55000</c:v>
                </c:pt>
                <c:pt idx="4">
                  <c:v>55000</c:v>
                </c:pt>
                <c:pt idx="5">
                  <c:v>55000</c:v>
                </c:pt>
                <c:pt idx="6">
                  <c:v>55000</c:v>
                </c:pt>
                <c:pt idx="7">
                  <c:v>55000</c:v>
                </c:pt>
                <c:pt idx="8">
                  <c:v>55000</c:v>
                </c:pt>
                <c:pt idx="9">
                  <c:v>55000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88-4813-99E3-22357FB52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1746239"/>
        <c:axId val="2031748159"/>
      </c:barChart>
      <c:catAx>
        <c:axId val="20317462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748159"/>
        <c:crosses val="autoZero"/>
        <c:auto val="1"/>
        <c:lblAlgn val="ctr"/>
        <c:lblOffset val="100"/>
        <c:tickLblSkip val="1"/>
        <c:noMultiLvlLbl val="0"/>
      </c:catAx>
      <c:valAx>
        <c:axId val="203174815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crossAx val="2031746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601597</xdr:colOff>
      <xdr:row>0</xdr:row>
      <xdr:rowOff>792612</xdr:rowOff>
    </xdr:from>
    <xdr:to>
      <xdr:col>33</xdr:col>
      <xdr:colOff>56399</xdr:colOff>
      <xdr:row>24</xdr:row>
      <xdr:rowOff>95813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B4ABB7B-A212-DE5D-95EA-702EE408320D}"/>
            </a:ext>
          </a:extLst>
        </xdr:cNvPr>
        <xdr:cNvSpPr txBox="1"/>
      </xdr:nvSpPr>
      <xdr:spPr>
        <a:xfrm>
          <a:off x="18203121" y="792612"/>
          <a:ext cx="5541784" cy="574525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/>
            <a:t>Exercise 3 Discussion</a:t>
          </a:r>
        </a:p>
        <a:p>
          <a:r>
            <a:rPr lang="en-CA" b="1"/>
            <a:t>Economic Signals:</a:t>
          </a:r>
          <a:r>
            <a:rPr lang="en-CA"/>
            <a:t> The Present Worth results indicate that all three designs are currently net-negative projects;</a:t>
          </a:r>
          <a:r>
            <a:rPr lang="en-CA" baseline="0"/>
            <a:t> this is</a:t>
          </a:r>
          <a:r>
            <a:rPr lang="en-CA"/>
            <a:t> evideny by the negative values for Design A (−$34,032.47), Design B (−$1,565,587.74), and Design C (−$207,160.96). Design A shows the lowest total economic cost over the project's life, but since it has only a short 7-year span,</a:t>
          </a:r>
          <a:r>
            <a:rPr lang="en-CA" baseline="0"/>
            <a:t> this </a:t>
          </a:r>
          <a:r>
            <a:rPr lang="en-CA"/>
            <a:t>suggests it may require frequent replacement. Conversely, the PW of Design B shows a very high investment requirement that is not offset by its monetized benefits. The Annual Worth (AW) results provide a signal of long-term cost efficiency; Design A is the most efficient at an annual cost of −$6,314.83, while Design B is the least efficient, costing −$171,893.12 per year.</a:t>
          </a:r>
        </a:p>
        <a:p>
          <a:r>
            <a:rPr lang="en-CA" b="1"/>
            <a:t>Comparison and Divergence:</a:t>
          </a:r>
          <a:r>
            <a:rPr lang="en-CA"/>
            <a:t> The PW and AW values differ significantly in scale, largely due to the varying economic lifespans of each of the three projects:</a:t>
          </a:r>
          <a:r>
            <a:rPr lang="en-CA" baseline="0"/>
            <a:t> </a:t>
          </a:r>
          <a:r>
            <a:rPr lang="en-CA"/>
            <a:t>7 years for Design A vs. 15 years for Design B vs. 10 years for</a:t>
          </a:r>
          <a:r>
            <a:rPr lang="en-CA" baseline="0"/>
            <a:t> Design</a:t>
          </a:r>
          <a:r>
            <a:rPr lang="en-CA"/>
            <a:t> C. While the metrics point to Design A as the cheapest</a:t>
          </a:r>
          <a:r>
            <a:rPr lang="en-CA" baseline="0"/>
            <a:t> </a:t>
          </a:r>
          <a:r>
            <a:rPr lang="en-CA"/>
            <a:t>option, they offer different perspectives: the PW highlights the massive total capital commitment required for Design B, whereas the AW highlights that Design C (−$29,495.06) is roughly 4.5 times more expensive annually than Design A, despite its improved durability. The conclusions are consistent</a:t>
          </a:r>
          <a:r>
            <a:rPr lang="en-CA" baseline="0"/>
            <a:t> using both PW and AW </a:t>
          </a:r>
          <a:r>
            <a:rPr lang="en-CA"/>
            <a:t>because the high initial CapEx of Design B is so dominant that no amount of annual net profit</a:t>
          </a:r>
          <a:r>
            <a:rPr lang="en-CA" baseline="0"/>
            <a:t> </a:t>
          </a:r>
          <a:r>
            <a:rPr lang="en-CA"/>
            <a:t>can make it appear more favorable than the others.</a:t>
          </a:r>
        </a:p>
        <a:p>
          <a:r>
            <a:rPr lang="en-CA" b="1"/>
            <a:t>Key Drivers:</a:t>
          </a:r>
          <a:r>
            <a:rPr lang="en-CA"/>
            <a:t> The primary driver for the PW results is the </a:t>
          </a:r>
          <a:r>
            <a:rPr lang="en-CA" b="0"/>
            <a:t>initial Capital Expenditure (CapEx). </a:t>
          </a:r>
          <a:r>
            <a:rPr lang="en-CA"/>
            <a:t>For Design B, the $1,791,850 initial cost is the dominant factor that the annual net cash flows of</a:t>
          </a:r>
          <a:r>
            <a:rPr lang="en-CA" baseline="0"/>
            <a:t> </a:t>
          </a:r>
          <a:r>
            <a:rPr lang="en-CA"/>
            <a:t>$29,569 cannot recover. For Design C, the key driver is the balance between a moderate CapEx (−$550,000) and steady monetized benefits ($85,000), which results in a much steadier and reliable annual net gain than Design B. </a:t>
          </a:r>
          <a:r>
            <a:rPr lang="en-CA" b="0"/>
            <a:t>The</a:t>
          </a:r>
          <a:r>
            <a:rPr lang="en-CA" b="0" baseline="0"/>
            <a:t> a</a:t>
          </a:r>
          <a:r>
            <a:rPr lang="en-CA" b="0"/>
            <a:t>ssumed economic life of each project </a:t>
          </a:r>
          <a:r>
            <a:rPr lang="en-CA"/>
            <a:t>is also a critical driver; Design A’s results are better mainly because the costs stop after 7 years.</a:t>
          </a:r>
          <a:r>
            <a:rPr lang="en-CA" baseline="0"/>
            <a:t> This </a:t>
          </a:r>
          <a:r>
            <a:rPr lang="en-CA"/>
            <a:t>ignores the cost of replacement in Year 8.</a:t>
          </a:r>
        </a:p>
        <a:p>
          <a:r>
            <a:rPr lang="en-CA" b="1"/>
            <a:t>Interpretation, not Selection:</a:t>
          </a:r>
          <a:r>
            <a:rPr lang="en-CA"/>
            <a:t> The analysis reveals a clear trade-off between </a:t>
          </a:r>
          <a:r>
            <a:rPr lang="en-CA" b="0"/>
            <a:t>affordability and performance</a:t>
          </a:r>
          <a:r>
            <a:rPr lang="en-CA"/>
            <a:t>. Design A offers low immediate costs but may not possess long-term reliability. Design B represents a high-performance attempt that is currently economically unfeasible under a 7% discount rate. Design C is a balanced</a:t>
          </a:r>
          <a:r>
            <a:rPr lang="en-CA" baseline="0"/>
            <a:t> design which considers both affordability and performance</a:t>
          </a:r>
          <a:r>
            <a:rPr lang="en-CA"/>
            <a:t>. Before a final recommendation can be made, additional refinement is needed to either find more "Monetized Benefits" for Design B or to model the </a:t>
          </a:r>
          <a:r>
            <a:rPr lang="en-CA" b="0"/>
            <a:t>replacement cost </a:t>
          </a:r>
          <a:r>
            <a:rPr lang="en-CA"/>
            <a:t>of Design A at the end of its 7-year project life to see if it remains the most cost-effective choice over a 15-year span.</a:t>
          </a:r>
        </a:p>
        <a:p>
          <a:endParaRPr lang="en-CA" sz="1100"/>
        </a:p>
      </xdr:txBody>
    </xdr:sp>
    <xdr:clientData/>
  </xdr:twoCellAnchor>
  <xdr:twoCellAnchor>
    <xdr:from>
      <xdr:col>0</xdr:col>
      <xdr:colOff>-3175</xdr:colOff>
      <xdr:row>22</xdr:row>
      <xdr:rowOff>93661</xdr:rowOff>
    </xdr:from>
    <xdr:to>
      <xdr:col>6</xdr:col>
      <xdr:colOff>323850</xdr:colOff>
      <xdr:row>38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F7224F3-5C12-810C-38AE-3E4662B4A3D1}"/>
            </a:ext>
            <a:ext uri="{147F2762-F138-4A5C-976F-8EAC2B608ADB}">
              <a16:predDERef xmlns:a16="http://schemas.microsoft.com/office/drawing/2014/main" pred="{BB4ABB7B-A212-DE5D-95EA-702EE40832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419100</xdr:colOff>
      <xdr:row>22</xdr:row>
      <xdr:rowOff>85725</xdr:rowOff>
    </xdr:from>
    <xdr:to>
      <xdr:col>14</xdr:col>
      <xdr:colOff>581025</xdr:colOff>
      <xdr:row>39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F081EE1-5CE8-4C07-BF4C-06E29C3CAF83}"/>
            </a:ext>
            <a:ext uri="{147F2762-F138-4A5C-976F-8EAC2B608ADB}">
              <a16:predDERef xmlns:a16="http://schemas.microsoft.com/office/drawing/2014/main" pred="{8F7224F3-5C12-810C-38AE-3E4662B4A3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752475</xdr:colOff>
      <xdr:row>22</xdr:row>
      <xdr:rowOff>95250</xdr:rowOff>
    </xdr:from>
    <xdr:to>
      <xdr:col>22</xdr:col>
      <xdr:colOff>447675</xdr:colOff>
      <xdr:row>39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54078D-CFD5-4B2B-B3C1-0EB51EA2BC2E}"/>
            </a:ext>
            <a:ext uri="{147F2762-F138-4A5C-976F-8EAC2B608ADB}">
              <a16:predDERef xmlns:a16="http://schemas.microsoft.com/office/drawing/2014/main" pred="{1F081EE1-5CE8-4C07-BF4C-06E29C3CAF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16AE-3926-464E-81B9-CD6B4977DFCE}">
  <dimension ref="A1:W22"/>
  <sheetViews>
    <sheetView tabSelected="1" topLeftCell="X1" zoomScale="109" workbookViewId="0">
      <selection activeCell="AF32" sqref="AF32"/>
    </sheetView>
  </sheetViews>
  <sheetFormatPr defaultRowHeight="15" x14ac:dyDescent="0.25"/>
  <cols>
    <col min="1" max="1" width="15.42578125" customWidth="1"/>
    <col min="2" max="3" width="11.85546875" bestFit="1" customWidth="1"/>
    <col min="4" max="4" width="9.5703125" bestFit="1" customWidth="1"/>
    <col min="5" max="5" width="13.140625" bestFit="1" customWidth="1"/>
    <col min="7" max="7" width="8.42578125" customWidth="1"/>
    <col min="10" max="10" width="16.28515625" customWidth="1"/>
    <col min="11" max="11" width="11.85546875" bestFit="1" customWidth="1"/>
    <col min="12" max="12" width="11.28515625" customWidth="1"/>
    <col min="13" max="13" width="13.5703125" bestFit="1" customWidth="1"/>
    <col min="15" max="15" width="11.42578125" customWidth="1"/>
    <col min="16" max="16" width="18" customWidth="1"/>
    <col min="17" max="17" width="16" customWidth="1"/>
    <col min="18" max="18" width="10.42578125" customWidth="1"/>
    <col min="20" max="20" width="11.85546875" bestFit="1" customWidth="1"/>
  </cols>
  <sheetData>
    <row r="1" spans="1:23" ht="66" x14ac:dyDescent="0.3">
      <c r="A1" s="1" t="s">
        <v>16</v>
      </c>
      <c r="B1" s="18" t="s">
        <v>14</v>
      </c>
      <c r="C1" s="1" t="s">
        <v>19</v>
      </c>
      <c r="I1" s="18" t="s">
        <v>13</v>
      </c>
      <c r="J1" s="1" t="s">
        <v>14</v>
      </c>
      <c r="K1" s="1" t="s">
        <v>17</v>
      </c>
      <c r="P1" s="1" t="s">
        <v>15</v>
      </c>
      <c r="Q1" s="1" t="s">
        <v>14</v>
      </c>
      <c r="R1" s="1" t="s">
        <v>18</v>
      </c>
    </row>
    <row r="2" spans="1:23" ht="42.6" customHeight="1" x14ac:dyDescent="0.3">
      <c r="A2" s="1"/>
      <c r="B2" s="1"/>
      <c r="C2" s="1"/>
      <c r="O2" s="16"/>
      <c r="P2" s="17" t="s">
        <v>0</v>
      </c>
      <c r="Q2" s="1"/>
      <c r="V2" s="12" t="s">
        <v>1</v>
      </c>
      <c r="W2" s="13">
        <v>7.0000000000000007E-2</v>
      </c>
    </row>
    <row r="3" spans="1:23" x14ac:dyDescent="0.25">
      <c r="A3" t="s">
        <v>2</v>
      </c>
      <c r="I3" t="s">
        <v>3</v>
      </c>
      <c r="P3" t="s">
        <v>4</v>
      </c>
    </row>
    <row r="4" spans="1:23" ht="45" x14ac:dyDescent="0.25">
      <c r="A4" s="2" t="s">
        <v>5</v>
      </c>
      <c r="B4" s="3" t="s">
        <v>6</v>
      </c>
      <c r="C4" s="3" t="s">
        <v>7</v>
      </c>
      <c r="D4" s="3" t="s">
        <v>8</v>
      </c>
      <c r="E4" s="3" t="s">
        <v>9</v>
      </c>
      <c r="I4" s="5" t="s">
        <v>5</v>
      </c>
      <c r="J4" s="3" t="s">
        <v>6</v>
      </c>
      <c r="K4" s="3" t="s">
        <v>7</v>
      </c>
      <c r="L4" s="3" t="s">
        <v>8</v>
      </c>
      <c r="M4" s="3" t="s">
        <v>9</v>
      </c>
      <c r="P4" s="5" t="s">
        <v>5</v>
      </c>
      <c r="Q4" s="3" t="s">
        <v>6</v>
      </c>
      <c r="R4" s="3" t="s">
        <v>7</v>
      </c>
      <c r="S4" s="3" t="s">
        <v>8</v>
      </c>
      <c r="T4" s="3" t="s">
        <v>9</v>
      </c>
    </row>
    <row r="5" spans="1:23" ht="16.5" thickBot="1" x14ac:dyDescent="0.3">
      <c r="A5" s="4">
        <v>1</v>
      </c>
      <c r="B5" s="8">
        <v>-40031</v>
      </c>
      <c r="C5" s="8">
        <v>-578.12</v>
      </c>
      <c r="D5" s="8">
        <v>1205.23</v>
      </c>
      <c r="E5" s="8">
        <f>D5+C5+B5</f>
        <v>-39403.89</v>
      </c>
      <c r="G5" s="15"/>
      <c r="I5" s="5">
        <v>1</v>
      </c>
      <c r="J5" s="20">
        <v>-1791850</v>
      </c>
      <c r="K5" s="22">
        <v>-47280</v>
      </c>
      <c r="L5" s="21">
        <v>76849</v>
      </c>
      <c r="M5" s="6">
        <f>L5+K5+J5</f>
        <v>-1762281</v>
      </c>
      <c r="P5" s="5">
        <v>1</v>
      </c>
      <c r="Q5" s="6">
        <f>-550000</f>
        <v>-550000</v>
      </c>
      <c r="R5" s="6">
        <v>-30000</v>
      </c>
      <c r="S5" s="7">
        <v>0</v>
      </c>
      <c r="T5" s="6">
        <f>-S5+(R5+Q5)</f>
        <v>-580000</v>
      </c>
    </row>
    <row r="6" spans="1:23" ht="15.75" x14ac:dyDescent="0.25">
      <c r="A6" s="4">
        <v>2</v>
      </c>
      <c r="B6" s="8">
        <v>0</v>
      </c>
      <c r="C6" s="8">
        <v>-578.12</v>
      </c>
      <c r="D6" s="8">
        <v>1205.23</v>
      </c>
      <c r="E6" s="8">
        <f t="shared" ref="E6:E11" si="0">D6+C6+B6</f>
        <v>627.11</v>
      </c>
      <c r="G6" s="15"/>
      <c r="I6" s="5">
        <v>2</v>
      </c>
      <c r="J6" s="21">
        <v>0</v>
      </c>
      <c r="K6" s="22">
        <v>-47280</v>
      </c>
      <c r="L6" s="21">
        <v>76849</v>
      </c>
      <c r="M6" s="24">
        <f t="shared" ref="M6:M19" si="1">L6+K6+J6</f>
        <v>29569</v>
      </c>
      <c r="P6" s="5">
        <v>2</v>
      </c>
      <c r="Q6" s="7">
        <v>0</v>
      </c>
      <c r="R6" s="6">
        <v>-30000</v>
      </c>
      <c r="S6" s="7">
        <v>85000</v>
      </c>
      <c r="T6" s="19">
        <f>S6+(R6+Q6)</f>
        <v>55000</v>
      </c>
    </row>
    <row r="7" spans="1:23" ht="15.75" x14ac:dyDescent="0.25">
      <c r="A7" s="4">
        <v>3</v>
      </c>
      <c r="B7" s="8">
        <v>0</v>
      </c>
      <c r="C7" s="8">
        <v>-578.12</v>
      </c>
      <c r="D7" s="8">
        <v>1205.23</v>
      </c>
      <c r="E7" s="8">
        <f t="shared" si="0"/>
        <v>627.11</v>
      </c>
      <c r="G7" s="15"/>
      <c r="I7" s="5">
        <v>3</v>
      </c>
      <c r="J7" s="21">
        <v>0</v>
      </c>
      <c r="K7" s="22">
        <v>-47280</v>
      </c>
      <c r="L7" s="21">
        <v>76849</v>
      </c>
      <c r="M7" s="24">
        <f t="shared" si="1"/>
        <v>29569</v>
      </c>
      <c r="P7" s="5">
        <v>3</v>
      </c>
      <c r="Q7" s="7">
        <v>0</v>
      </c>
      <c r="R7" s="6">
        <v>-30000</v>
      </c>
      <c r="S7" s="7">
        <v>85000</v>
      </c>
      <c r="T7" s="19">
        <f t="shared" ref="T7:T14" si="2">S7+(R7+Q7)</f>
        <v>55000</v>
      </c>
    </row>
    <row r="8" spans="1:23" ht="15.75" x14ac:dyDescent="0.25">
      <c r="A8" s="4">
        <v>4</v>
      </c>
      <c r="B8" s="8">
        <v>0</v>
      </c>
      <c r="C8" s="8">
        <v>-578.12</v>
      </c>
      <c r="D8" s="8">
        <v>1205.23</v>
      </c>
      <c r="E8" s="8">
        <f t="shared" si="0"/>
        <v>627.11</v>
      </c>
      <c r="G8" s="15"/>
      <c r="I8" s="5">
        <v>4</v>
      </c>
      <c r="J8" s="21">
        <v>0</v>
      </c>
      <c r="K8" s="23">
        <v>-136872.5</v>
      </c>
      <c r="L8" s="21">
        <v>76849</v>
      </c>
      <c r="M8" s="22">
        <f t="shared" si="1"/>
        <v>-60023.5</v>
      </c>
      <c r="P8" s="5">
        <v>4</v>
      </c>
      <c r="Q8" s="7">
        <v>0</v>
      </c>
      <c r="R8" s="6">
        <v>-30000</v>
      </c>
      <c r="S8" s="7">
        <v>85000</v>
      </c>
      <c r="T8" s="19">
        <f t="shared" si="2"/>
        <v>55000</v>
      </c>
    </row>
    <row r="9" spans="1:23" ht="15.75" x14ac:dyDescent="0.25">
      <c r="A9" s="4">
        <v>5</v>
      </c>
      <c r="B9" s="8">
        <v>0</v>
      </c>
      <c r="C9" s="8">
        <v>-578.12</v>
      </c>
      <c r="D9" s="8">
        <v>1205.23</v>
      </c>
      <c r="E9" s="8">
        <f t="shared" si="0"/>
        <v>627.11</v>
      </c>
      <c r="G9" s="15"/>
      <c r="I9" s="5">
        <v>5</v>
      </c>
      <c r="J9" s="21">
        <v>0</v>
      </c>
      <c r="K9" s="22">
        <v>-47280</v>
      </c>
      <c r="L9" s="21">
        <v>76849</v>
      </c>
      <c r="M9" s="24">
        <f t="shared" si="1"/>
        <v>29569</v>
      </c>
      <c r="P9" s="5">
        <v>5</v>
      </c>
      <c r="Q9" s="7">
        <v>0</v>
      </c>
      <c r="R9" s="6">
        <v>-30000</v>
      </c>
      <c r="S9" s="7">
        <v>85000</v>
      </c>
      <c r="T9" s="19">
        <f t="shared" si="2"/>
        <v>55000</v>
      </c>
    </row>
    <row r="10" spans="1:23" ht="15.75" x14ac:dyDescent="0.25">
      <c r="A10" s="4">
        <v>6</v>
      </c>
      <c r="B10" s="8">
        <v>0</v>
      </c>
      <c r="C10" s="8">
        <v>-578.12</v>
      </c>
      <c r="D10" s="8">
        <v>1205.23</v>
      </c>
      <c r="E10" s="8">
        <f t="shared" si="0"/>
        <v>627.11</v>
      </c>
      <c r="G10" s="15"/>
      <c r="I10" s="5">
        <v>6</v>
      </c>
      <c r="J10" s="21">
        <v>0</v>
      </c>
      <c r="K10" s="22">
        <v>-47280</v>
      </c>
      <c r="L10" s="21">
        <v>76849</v>
      </c>
      <c r="M10" s="24">
        <f t="shared" si="1"/>
        <v>29569</v>
      </c>
      <c r="P10" s="5">
        <v>6</v>
      </c>
      <c r="Q10" s="7">
        <v>0</v>
      </c>
      <c r="R10" s="6">
        <v>-30000</v>
      </c>
      <c r="S10" s="7">
        <v>85000</v>
      </c>
      <c r="T10" s="19">
        <f t="shared" si="2"/>
        <v>55000</v>
      </c>
    </row>
    <row r="11" spans="1:23" ht="15.75" x14ac:dyDescent="0.25">
      <c r="A11" s="4">
        <v>7</v>
      </c>
      <c r="B11" s="8">
        <v>0</v>
      </c>
      <c r="C11" s="8">
        <v>-578.12</v>
      </c>
      <c r="D11" s="8">
        <v>1205.23</v>
      </c>
      <c r="E11" s="8">
        <f t="shared" si="0"/>
        <v>627.11</v>
      </c>
      <c r="G11" s="15"/>
      <c r="I11" s="5">
        <v>7</v>
      </c>
      <c r="J11" s="21">
        <v>0</v>
      </c>
      <c r="K11" s="22">
        <v>-47280</v>
      </c>
      <c r="L11" s="21">
        <v>76849</v>
      </c>
      <c r="M11" s="24">
        <f t="shared" si="1"/>
        <v>29569</v>
      </c>
      <c r="P11" s="5">
        <v>7</v>
      </c>
      <c r="Q11" s="7">
        <v>0</v>
      </c>
      <c r="R11" s="6">
        <v>-30000</v>
      </c>
      <c r="S11" s="7">
        <v>85000</v>
      </c>
      <c r="T11" s="19">
        <f t="shared" si="2"/>
        <v>55000</v>
      </c>
    </row>
    <row r="12" spans="1:23" ht="15.75" x14ac:dyDescent="0.25">
      <c r="D12" s="9" t="s">
        <v>10</v>
      </c>
      <c r="E12" s="10">
        <f xml:space="preserve"> NPV(0.07,E5:E11)</f>
        <v>-34032.472256042362</v>
      </c>
      <c r="G12" s="14"/>
      <c r="I12" s="5">
        <v>8</v>
      </c>
      <c r="J12" s="21">
        <v>0</v>
      </c>
      <c r="K12" s="23">
        <v>-136872.5</v>
      </c>
      <c r="L12" s="21">
        <v>76849</v>
      </c>
      <c r="M12" s="22">
        <f t="shared" si="1"/>
        <v>-60023.5</v>
      </c>
      <c r="P12" s="5">
        <v>8</v>
      </c>
      <c r="Q12" s="7">
        <v>0</v>
      </c>
      <c r="R12" s="6">
        <v>-30000</v>
      </c>
      <c r="S12" s="7">
        <v>85000</v>
      </c>
      <c r="T12" s="19">
        <f t="shared" si="2"/>
        <v>55000</v>
      </c>
    </row>
    <row r="13" spans="1:23" ht="15.75" x14ac:dyDescent="0.25">
      <c r="D13" s="9" t="s">
        <v>11</v>
      </c>
      <c r="E13" s="11">
        <f>PMT(0.07, 7, -E12)</f>
        <v>-6314.8347991167648</v>
      </c>
      <c r="I13" s="5">
        <v>9</v>
      </c>
      <c r="J13" s="21">
        <v>0</v>
      </c>
      <c r="K13" s="22">
        <v>-47280</v>
      </c>
      <c r="L13" s="21">
        <v>76849</v>
      </c>
      <c r="M13" s="24">
        <f t="shared" si="1"/>
        <v>29569</v>
      </c>
      <c r="P13" s="5">
        <v>9</v>
      </c>
      <c r="Q13" s="7">
        <v>0</v>
      </c>
      <c r="R13" s="6">
        <v>-30000</v>
      </c>
      <c r="S13" s="7">
        <v>85000</v>
      </c>
      <c r="T13" s="19">
        <f t="shared" si="2"/>
        <v>55000</v>
      </c>
    </row>
    <row r="14" spans="1:23" ht="15.75" x14ac:dyDescent="0.25">
      <c r="E14" s="14"/>
      <c r="I14" s="5">
        <v>10</v>
      </c>
      <c r="J14" s="21">
        <v>0</v>
      </c>
      <c r="K14" s="22">
        <v>-47280</v>
      </c>
      <c r="L14" s="21">
        <v>76849</v>
      </c>
      <c r="M14" s="24">
        <f t="shared" si="1"/>
        <v>29569</v>
      </c>
      <c r="P14" s="5">
        <v>10</v>
      </c>
      <c r="Q14" s="7">
        <v>0</v>
      </c>
      <c r="R14" s="6">
        <v>-30000</v>
      </c>
      <c r="S14" s="7">
        <v>85000</v>
      </c>
      <c r="T14" s="19">
        <f t="shared" si="2"/>
        <v>55000</v>
      </c>
    </row>
    <row r="15" spans="1:23" ht="15.75" x14ac:dyDescent="0.25">
      <c r="I15" s="5">
        <v>11</v>
      </c>
      <c r="J15" s="21">
        <v>0</v>
      </c>
      <c r="K15" s="22">
        <v>-47280</v>
      </c>
      <c r="L15" s="21">
        <v>76849</v>
      </c>
      <c r="M15" s="24">
        <f t="shared" si="1"/>
        <v>29569</v>
      </c>
      <c r="P15" s="5">
        <v>11</v>
      </c>
      <c r="Q15" s="7"/>
      <c r="R15" s="6"/>
      <c r="S15" s="7"/>
      <c r="T15" s="6"/>
    </row>
    <row r="16" spans="1:23" ht="15.75" x14ac:dyDescent="0.25">
      <c r="I16" s="5">
        <v>12</v>
      </c>
      <c r="J16" s="21">
        <v>0</v>
      </c>
      <c r="K16" s="23">
        <v>-136872.5</v>
      </c>
      <c r="L16" s="21">
        <v>76849</v>
      </c>
      <c r="M16" s="22">
        <f t="shared" si="1"/>
        <v>-60023.5</v>
      </c>
      <c r="P16" s="5">
        <v>12</v>
      </c>
      <c r="Q16" s="7"/>
      <c r="R16" s="6"/>
      <c r="S16" s="7"/>
      <c r="T16" s="6"/>
    </row>
    <row r="17" spans="1:20" ht="15.75" x14ac:dyDescent="0.25">
      <c r="I17" s="5">
        <v>13</v>
      </c>
      <c r="J17" s="21">
        <v>0</v>
      </c>
      <c r="K17" s="22">
        <v>-47280</v>
      </c>
      <c r="L17" s="21">
        <v>76849</v>
      </c>
      <c r="M17" s="24">
        <f t="shared" si="1"/>
        <v>29569</v>
      </c>
      <c r="P17" s="5">
        <v>13</v>
      </c>
      <c r="Q17" s="7"/>
      <c r="R17" s="6"/>
      <c r="S17" s="7"/>
      <c r="T17" s="6"/>
    </row>
    <row r="18" spans="1:20" ht="15.75" x14ac:dyDescent="0.25">
      <c r="I18" s="5">
        <v>14</v>
      </c>
      <c r="J18" s="21">
        <v>0</v>
      </c>
      <c r="K18" s="22">
        <v>-47280</v>
      </c>
      <c r="L18" s="21">
        <v>76849</v>
      </c>
      <c r="M18" s="24">
        <f t="shared" si="1"/>
        <v>29569</v>
      </c>
      <c r="P18" s="5">
        <v>14</v>
      </c>
      <c r="Q18" s="7"/>
      <c r="R18" s="6"/>
      <c r="S18" s="7"/>
      <c r="T18" s="6"/>
    </row>
    <row r="19" spans="1:20" ht="15.75" x14ac:dyDescent="0.25">
      <c r="I19" s="5">
        <v>15</v>
      </c>
      <c r="J19" s="21">
        <v>0</v>
      </c>
      <c r="K19" s="22">
        <v>-47280</v>
      </c>
      <c r="L19" s="21">
        <v>76849</v>
      </c>
      <c r="M19" s="24">
        <f t="shared" si="1"/>
        <v>29569</v>
      </c>
      <c r="P19" s="5">
        <v>15</v>
      </c>
      <c r="Q19" s="7"/>
      <c r="R19" s="6"/>
      <c r="S19" s="7"/>
      <c r="T19" s="6"/>
    </row>
    <row r="20" spans="1:20" x14ac:dyDescent="0.25">
      <c r="L20" s="9" t="s">
        <v>10</v>
      </c>
      <c r="M20" s="10">
        <f>NPV(0.07, M5:M19)</f>
        <v>-1565587.7404516134</v>
      </c>
      <c r="S20" s="9" t="s">
        <v>10</v>
      </c>
      <c r="T20" s="10">
        <f xml:space="preserve"> NPV(0.07,T5:T14)</f>
        <v>-207160.95917394065</v>
      </c>
    </row>
    <row r="21" spans="1:20" x14ac:dyDescent="0.25">
      <c r="L21" s="9" t="s">
        <v>11</v>
      </c>
      <c r="M21" s="11">
        <f>PMT(0.07, 15, -M20)</f>
        <v>-171893.11839938175</v>
      </c>
      <c r="S21" s="9" t="s">
        <v>11</v>
      </c>
      <c r="T21" s="11">
        <f>PMT(0.07, 10, -T20)</f>
        <v>-29495.060029791228</v>
      </c>
    </row>
    <row r="22" spans="1:20" ht="45" customHeight="1" x14ac:dyDescent="0.25">
      <c r="A22" s="25" t="s">
        <v>12</v>
      </c>
      <c r="B22" s="25"/>
      <c r="C22" s="25"/>
      <c r="D22" s="25"/>
      <c r="E22" s="25"/>
    </row>
  </sheetData>
  <mergeCells count="1">
    <mergeCell ref="A22:E2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6c7cb9-3c36-40e5-a5d9-86e0029a058a" xsi:nil="true"/>
    <lcf76f155ced4ddcb4097134ff3c332f xmlns="a5db53bf-fe91-4cb9-a657-3e0c4c7ee7a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BC17E552CE50459814B45CAB38E643" ma:contentTypeVersion="16" ma:contentTypeDescription="Create a new document." ma:contentTypeScope="" ma:versionID="a2c4a0a3be967a154ef3fcd83466f29a">
  <xsd:schema xmlns:xsd="http://www.w3.org/2001/XMLSchema" xmlns:xs="http://www.w3.org/2001/XMLSchema" xmlns:p="http://schemas.microsoft.com/office/2006/metadata/properties" xmlns:ns2="006c7cb9-3c36-40e5-a5d9-86e0029a058a" xmlns:ns3="a5db53bf-fe91-4cb9-a657-3e0c4c7ee7a0" targetNamespace="http://schemas.microsoft.com/office/2006/metadata/properties" ma:root="true" ma:fieldsID="4cb9171e460dc7c1a5cf1b2c367a13c3" ns2:_="" ns3:_="">
    <xsd:import namespace="006c7cb9-3c36-40e5-a5d9-86e0029a058a"/>
    <xsd:import namespace="a5db53bf-fe91-4cb9-a657-3e0c4c7ee7a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6c7cb9-3c36-40e5-a5d9-86e0029a058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cc6cf274-fc21-4180-95bc-11d99ba0f523}" ma:internalName="TaxCatchAll" ma:showField="CatchAllData" ma:web="006c7cb9-3c36-40e5-a5d9-86e0029a05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db53bf-fe91-4cb9-a657-3e0c4c7ee7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a073764d-e844-48d8-8cbc-d63b9d9528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DC4FED-1847-4410-B188-B279FB52EC8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AFE64AE-A369-4EEB-8916-2CAECBDB78AF}">
  <ds:schemaRefs>
    <ds:schemaRef ds:uri="http://schemas.microsoft.com/office/2006/metadata/properties"/>
    <ds:schemaRef ds:uri="http://schemas.microsoft.com/office/infopath/2007/PartnerControls"/>
    <ds:schemaRef ds:uri="006c7cb9-3c36-40e5-a5d9-86e0029a058a"/>
    <ds:schemaRef ds:uri="a5db53bf-fe91-4cb9-a657-3e0c4c7ee7a0"/>
  </ds:schemaRefs>
</ds:datastoreItem>
</file>

<file path=customXml/itemProps3.xml><?xml version="1.0" encoding="utf-8"?>
<ds:datastoreItem xmlns:ds="http://schemas.openxmlformats.org/officeDocument/2006/customXml" ds:itemID="{4185EB5F-2BA9-4881-A2DF-9DA3A72126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6c7cb9-3c36-40e5-a5d9-86e0029a058a"/>
    <ds:schemaRef ds:uri="a5db53bf-fe91-4cb9-a657-3e0c4c7ee7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PW AW Comparison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Shajijan Narendran</cp:lastModifiedBy>
  <cp:revision/>
  <dcterms:created xsi:type="dcterms:W3CDTF">2025-09-23T15:37:39Z</dcterms:created>
  <dcterms:modified xsi:type="dcterms:W3CDTF">2026-02-11T01:45:45Z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0x01010069BC17E552CE50459814B45CAB38E643</vt:lpwstr>
  </property>
  <property fmtid="{D5CDD505-2E9C-101B-9397-08002B2CF9AE}" pid="3" name="MediaServiceImageTags">
    <vt:lpwstr/>
  </property>
</Properties>
</file>