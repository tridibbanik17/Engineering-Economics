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cmasteru365-my.sharepoint.com/personal/brodersj_mcmaster_ca/Documents/"/>
    </mc:Choice>
  </mc:AlternateContent>
  <xr:revisionPtr revIDLastSave="736" documentId="8_{C9184412-225B-492E-9B66-370E67ACF516}" xr6:coauthVersionLast="47" xr6:coauthVersionMax="47" xr10:uidLastSave="{01C44F13-3263-4C5B-B3DE-D30F3EFEEAB8}"/>
  <bookViews>
    <workbookView xWindow="11424" yWindow="0" windowWidth="11712" windowHeight="13776" firstSheet="2" activeTab="2" xr2:uid="{E99E4954-1860-45AE-8C12-305EB8799F32}"/>
  </bookViews>
  <sheets>
    <sheet name="Design Parameters" sheetId="1" r:id="rId1"/>
    <sheet name="Costs and Benefits Estimation" sheetId="2" r:id="rId2"/>
    <sheet name="Cost and Benefits Cash Flow" sheetId="4" r:id="rId3"/>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 l="1"/>
  <c r="F8" i="4"/>
  <c r="E8" i="4"/>
  <c r="D8" i="4"/>
  <c r="C8" i="4"/>
  <c r="F13" i="4"/>
  <c r="C9" i="4"/>
  <c r="G9" i="4"/>
  <c r="F9" i="4"/>
  <c r="E9" i="4"/>
  <c r="D9" i="4"/>
  <c r="G15" i="4"/>
  <c r="F15" i="4"/>
  <c r="E15" i="4"/>
  <c r="D15" i="4"/>
  <c r="G14" i="4"/>
  <c r="F14" i="4"/>
  <c r="E14" i="4"/>
  <c r="D14" i="4"/>
  <c r="G13" i="4"/>
  <c r="E13" i="4"/>
  <c r="D13" i="4"/>
  <c r="G12" i="4"/>
  <c r="F12" i="4"/>
  <c r="E12" i="4"/>
  <c r="D12" i="4"/>
  <c r="G11" i="4"/>
  <c r="F11" i="4"/>
  <c r="E11" i="4"/>
  <c r="D11" i="4"/>
  <c r="G7" i="4"/>
  <c r="F7" i="4"/>
  <c r="E7" i="4"/>
  <c r="D7" i="4"/>
  <c r="C7" i="4"/>
  <c r="K5" i="4"/>
  <c r="C5" i="4" s="1"/>
  <c r="C4" i="4"/>
  <c r="C3" i="4"/>
  <c r="F16" i="4" l="1"/>
  <c r="E16" i="4"/>
  <c r="C16" i="4"/>
  <c r="G16" i="4"/>
  <c r="D16" i="4"/>
  <c r="H16" i="4" l="1"/>
</calcChain>
</file>

<file path=xl/sharedStrings.xml><?xml version="1.0" encoding="utf-8"?>
<sst xmlns="http://schemas.openxmlformats.org/spreadsheetml/2006/main" count="183" uniqueCount="142">
  <si>
    <t>Design Parameter</t>
  </si>
  <si>
    <t>Value</t>
  </si>
  <si>
    <t>Unit</t>
  </si>
  <si>
    <t>Calculations</t>
  </si>
  <si>
    <t>Design Parameter and Cost/Benefit Driver Mapping</t>
  </si>
  <si>
    <t>Cost Driver(s)</t>
  </si>
  <si>
    <t>Benefit Driver(s)</t>
  </si>
  <si>
    <t>Cost Estimation Table</t>
  </si>
  <si>
    <t>Cost Driver</t>
  </si>
  <si>
    <t>Cost Item</t>
  </si>
  <si>
    <t>Cost Type</t>
  </si>
  <si>
    <t>Direct / Indirect</t>
  </si>
  <si>
    <t>Estimation Method</t>
  </si>
  <si>
    <t>Estimated Value</t>
  </si>
  <si>
    <t>Benefits Estimation Table</t>
  </si>
  <si>
    <t>Benefit Driver</t>
  </si>
  <si>
    <t>Specific Benefit</t>
  </si>
  <si>
    <t>How it’s monetized (conversion method)</t>
  </si>
  <si>
    <t>Estimation</t>
  </si>
  <si>
    <t>Monetized Benefit</t>
  </si>
  <si>
    <t>Annual Cash Flow</t>
  </si>
  <si>
    <t>Category</t>
  </si>
  <si>
    <t>Year 1</t>
  </si>
  <si>
    <t>Year 2</t>
  </si>
  <si>
    <t>Year 3</t>
  </si>
  <si>
    <t>Year 4</t>
  </si>
  <si>
    <t>Year 5</t>
  </si>
  <si>
    <t>Capital Costs (CapEx)</t>
  </si>
  <si>
    <t>Operating Costs (OpEx)</t>
  </si>
  <si>
    <t>Benefits (Monetized)</t>
  </si>
  <si>
    <t>Net Cash Flow (Total)</t>
  </si>
  <si>
    <t>Year</t>
  </si>
  <si>
    <t>Item</t>
  </si>
  <si>
    <t>CapEx</t>
  </si>
  <si>
    <t>OpEx</t>
  </si>
  <si>
    <t>Benefits</t>
  </si>
  <si>
    <t>Total</t>
  </si>
  <si>
    <t>Net Cash Flow</t>
  </si>
  <si>
    <t>Number of Cameras</t>
  </si>
  <si>
    <t>Storage Required for Camera/Sensor Data</t>
  </si>
  <si>
    <t>Uptime Target for Cameras, Sensors, and Security-Related Devices</t>
  </si>
  <si>
    <t>Network Bandwidth for Cameras, Sensors, and Security-Related Devices</t>
  </si>
  <si>
    <t>Communication Network Type</t>
  </si>
  <si>
    <t>#</t>
  </si>
  <si>
    <t>TB</t>
  </si>
  <si>
    <t>%</t>
  </si>
  <si>
    <t>From my learning in SFWRENG 3RA3, I know that uptime is generally measured in 99.99…% uptime and downtime per year. Due to the nature of this task where security is of the utmost importance, the uptime should be very high. We decided upon 99.99999% which results in downtime of 3.1536 seconds per year. This is also known (from 3RA3) as five nines availability. This amount of time does not allow for any significant security breaches to go unnoticed. The calculation for downtime per year in seconds is shown below:
Downtime=(Number of Days per Year)*(Number of Hours per Day)*(Number of Minutes per Hour)*(Number of Seconds per Hour)*(Downtime Percent)=365*24*60*60*(1-0.9999999)=3.1536 seconds.</t>
  </si>
  <si>
    <t>MB/s</t>
  </si>
  <si>
    <t>WPA3</t>
  </si>
  <si>
    <t>Type</t>
  </si>
  <si>
    <t>Fixed (CapEx)</t>
  </si>
  <si>
    <t>Direct</t>
  </si>
  <si>
    <t>Variable (OpEx)</t>
  </si>
  <si>
    <t>$511,000 per year</t>
  </si>
  <si>
    <t>System Complexity</t>
  </si>
  <si>
    <t>Camera, Sensor, Security-Related Device Maintenance</t>
  </si>
  <si>
    <t>Security Productivity</t>
  </si>
  <si>
    <t>Eliminates salary of extra security personnel</t>
  </si>
  <si>
    <t>Lowers property insurance premiums</t>
  </si>
  <si>
    <t>Estimated discount for property insurance premiums</t>
  </si>
  <si>
    <t>$3,066 per year</t>
  </si>
  <si>
    <t>Replace Patrol Labor</t>
  </si>
  <si>
    <t>Increased Security Productivity</t>
  </si>
  <si>
    <t>Enhanced Encryption</t>
  </si>
  <si>
    <t>Indirect</t>
  </si>
  <si>
    <t>$64,600 per year</t>
  </si>
  <si>
    <t>$1,000 per year</t>
  </si>
  <si>
    <t>$245,280 per year</t>
  </si>
  <si>
    <t>Reduced downtime of security system, thereby decreacing downtime of security personnel</t>
  </si>
  <si>
    <t>Expected value of wasted potential work of security personnel due to security system downtime</t>
  </si>
  <si>
    <t>Expected value of wasted potential work of security personnel due to decreased surveillance capabilities</t>
  </si>
  <si>
    <t>Cameras</t>
  </si>
  <si>
    <t>Hard Drives</t>
  </si>
  <si>
    <t>Parameters</t>
  </si>
  <si>
    <t>TBs of Storage</t>
  </si>
  <si>
    <t>Converstion Factors</t>
  </si>
  <si>
    <t>Camera</t>
  </si>
  <si>
    <t>$/camera</t>
  </si>
  <si>
    <t>TB of Storage</t>
  </si>
  <si>
    <t>$/TB</t>
  </si>
  <si>
    <t>Wireless Access Points</t>
  </si>
  <si>
    <t>Number of Wireless Access Points:</t>
  </si>
  <si>
    <t>Wireless Access Point</t>
  </si>
  <si>
    <t>$/WAP</t>
  </si>
  <si>
    <t>Required Network Bandwidth</t>
  </si>
  <si>
    <t>Wireless Access Point Bandwidth</t>
  </si>
  <si>
    <t>Camera Maintenance</t>
  </si>
  <si>
    <t>Eliminated Patrol Salary</t>
  </si>
  <si>
    <t>Security Guard</t>
  </si>
  <si>
    <t>$/hour</t>
  </si>
  <si>
    <t>Expected Value of Avoided Downtime</t>
  </si>
  <si>
    <t>Reduced Property Insurance Premiums</t>
  </si>
  <si>
    <t>Property Insurance Reduction</t>
  </si>
  <si>
    <t>% (in decimal form)</t>
  </si>
  <si>
    <t>Property Insurance</t>
  </si>
  <si>
    <t>$</t>
  </si>
  <si>
    <t>Encryption Savings</t>
  </si>
  <si>
    <t>Average Breaches</t>
  </si>
  <si>
    <t>#/year</t>
  </si>
  <si>
    <t>Low Bandwidth Productivity Rate</t>
  </si>
  <si>
    <r>
      <rPr>
        <b/>
        <sz val="10"/>
        <color theme="1"/>
        <rFont val="Arial Narrow"/>
        <family val="2"/>
      </rPr>
      <t xml:space="preserve">Parametric: </t>
    </r>
    <r>
      <rPr>
        <sz val="10"/>
        <color theme="1"/>
        <rFont val="Arial Narrow"/>
        <family val="2"/>
      </rPr>
      <t>323 cameras * 100 $/camera = $32,300</t>
    </r>
  </si>
  <si>
    <r>
      <rPr>
        <b/>
        <sz val="10"/>
        <rFont val="Arial Narrow"/>
        <family val="2"/>
      </rPr>
      <t>Parametric:</t>
    </r>
    <r>
      <rPr>
        <sz val="10"/>
        <rFont val="Arial Narrow"/>
        <family val="2"/>
      </rPr>
      <t xml:space="preserve"> 5 WAPs * 600 $/WAP = $3,000</t>
    </r>
  </si>
  <si>
    <r>
      <rPr>
        <b/>
        <sz val="10"/>
        <color theme="1"/>
        <rFont val="Arial Narrow"/>
        <family val="2"/>
      </rPr>
      <t>Parametric:</t>
    </r>
    <r>
      <rPr>
        <sz val="10"/>
        <color theme="1"/>
        <rFont val="Arial Narrow"/>
        <family val="2"/>
      </rPr>
      <t xml:space="preserve"> 323 cameras * 200 $/camera = $64,600</t>
    </r>
  </si>
  <si>
    <t>(1-1/5) * 35 $/hour * 24 hour/day * 365 day/year = $245,280 per year</t>
  </si>
  <si>
    <t>276,753 $/breach * 0.01 breach/year = $2,767.53 per year</t>
  </si>
  <si>
    <t>Wirless Access Points</t>
  </si>
  <si>
    <t>Purchase of Cameras</t>
  </si>
  <si>
    <t>Purchase of Hard Drives</t>
  </si>
  <si>
    <t>Purchase of Wireless Access Points</t>
  </si>
  <si>
    <t>Decreased Subsystem Downtime</t>
  </si>
  <si>
    <t>Assuming a total floor area of 10,000m^2 (from project description) and requiring a camera approximately every 500 square feet [1]. Additionally, we use a redundancy factor of 1.5 so if a camera goes down it will be covered by another. This coverage is required to make our system more reliable. The number of cameras is calculated as follows: ((Total Floor Area))/((Camera Surveillance Area))*(Redundancy Factor)=(10,000*10.7639)/500*1.5≈323 cameras.</t>
  </si>
  <si>
    <t>Assumptions: Footage is stored for one year before being overwritten [2]. Each camera is 1080p and runs 24/7, taking up 40GB per day [3]. The storage required for sensor data would be magnitudes less than that of the camera data and as such are left out of this calculation.
Therefore, the overall storage required is calculated as follows: Storage=(Storage Length in Days)*(Storage Space per Camera per Day)*(Number of Cameras)=365*40*323=4,715,800GB=1,715.8TB.
Additionally, this storage is doubled to allow for a redundant backup of the security footage / sensor data. This further ensures the reliability of our system. Therefore, the required storage is 3,431.6TB.</t>
  </si>
  <si>
    <t>Again, I assume that each camera is 1080p and runs 24/7 and therefore uses 40GB of space per day [3]. Therefore, each camera requires network bandwidth of ((Data per Day))/((Hours per Day)*(Minutes per Hour)*(Seconds per Minute) )=40/(24*60*60)=0.000462963GB/s=462.963KB/s. Therefore, for 323 cameras the require network bandwidth would be (Number of Cameras)*(Network Bandwidth per Camera)=323*462.963=149,537.049KB/s=149.537MB/s. Similar to the required data storage space, I assume that the network bandwidth for the sensor data and other security related devices would be insignificant compared to the camera data and as such, it is ignored in this calculation.</t>
  </si>
  <si>
    <t>WPA3 is the ideal communication network type for this subsystem for two main reasons. Firstly, it is wireless and will therefore save extensive wiring and planning costs with the very high number of cameras, sensors, and other security related devices. Secondly, WPA3 was chosen as it offers stronger encryption and enhanced attack defense [4]. Additionally, the use of a wireless network allows for the easy implementation of redundant signals such as a backup wireless network compared to having to install a second set of physical cables.</t>
  </si>
  <si>
    <t>Works Cited</t>
  </si>
  <si>
    <t>[1] CCTV Security Pros, "Security Camera Coverage Calculator," CCTV Security Pros, [Online]. Available: https://www.cctvsecuritypros.com/security-camera-installation-calculator/. [Accessed 13 January 2026].
[2] Live Patrol, "How Long Do Security Cameras Keep Footage," Live Patrol, 5 August 2024. [Online]. Available: https://livepatrol.com/how-long-do-security-cameras-keep-footage/. [Accessed 13 January 2026].
[3] Security Camera King, "Storage Wars for Security Cameras: Calculating Your Ideal Capacity," Security Camera King, 21 July 2025. [Online]. Available: https://www.securitycameraking.com/securitynews/how-much-storage-does-a-security-camera-need/. [Accessed 13 January 2026].
[4] M. Basan, K. Timonera and K. Underhill, "Wireless Network Security: WEP, WPA, WPA2 &amp; WPA3 Explained," eSecurity Planet, 15 September 2025. [Online]. Available: https://www.esecurityplanet.com/trends/the-best-security-for-wireless-networks/. [Accessed 13 January 2026].</t>
  </si>
  <si>
    <t>Energy Consumption of Data Storage</t>
  </si>
  <si>
    <r>
      <t xml:space="preserve">Parametric: </t>
    </r>
    <r>
      <rPr>
        <sz val="10"/>
        <color theme="1"/>
        <rFont val="Arial Narrow"/>
        <family val="2"/>
      </rPr>
      <t>3,431.6 TB * 30 $/TB = $102,948</t>
    </r>
  </si>
  <si>
    <t>$48,728.72 per year</t>
  </si>
  <si>
    <t>$ per kWh</t>
  </si>
  <si>
    <t>kWh per TB</t>
  </si>
  <si>
    <t>kWh/TB</t>
  </si>
  <si>
    <t>$/kWh</t>
  </si>
  <si>
    <r>
      <t xml:space="preserve">Parametric: </t>
    </r>
    <r>
      <rPr>
        <sz val="10"/>
        <color theme="1"/>
        <rFont val="Arial Narrow"/>
        <family val="2"/>
      </rPr>
      <t>3,431.6 TB * 100 kWh/TB * 0.142 $/kWh = $48,728.72</t>
    </r>
    <r>
      <rPr>
        <b/>
        <sz val="10"/>
        <color theme="1"/>
        <rFont val="Arial Narrow"/>
        <family val="2"/>
      </rPr>
      <t xml:space="preserve">
Side Note: </t>
    </r>
    <r>
      <rPr>
        <sz val="10"/>
        <color theme="1"/>
        <rFont val="Arial Narrow"/>
        <family val="2"/>
      </rPr>
      <t>Ontario's power grid emits 35g/kWh of CO2e. Therefore, emissions are: 3,431.6 TB * 100 kWh/TB * 35 g/kWh = 12,010,600g of CO2e</t>
    </r>
  </si>
  <si>
    <t>Purchase of Storage, Energy Consumption of Data Storage</t>
  </si>
  <si>
    <t>35 $/hour * 5 guards * 8 hour/guard = $1,400 per day. 1,400 $/day * 365 day/year = $511,000 per year</t>
  </si>
  <si>
    <t>10,000 $/year * 10% = $1,000 per year</t>
  </si>
  <si>
    <t>$2,767.53 per year</t>
  </si>
  <si>
    <t>(100% - 99%) * 365 days * 24 hour/day = 87.6 hour/year of downtime. 35 $/hour * 87.6 hours = $3,066 per year</t>
  </si>
  <si>
    <t>Salary of Network Engineer</t>
  </si>
  <si>
    <t>Camera, Sensor, and Security-Related Device Maintenance</t>
  </si>
  <si>
    <t>Data Center Energy</t>
  </si>
  <si>
    <r>
      <t xml:space="preserve">Analogous (Three-Point Estimate): </t>
    </r>
    <r>
      <rPr>
        <sz val="10"/>
        <color theme="1"/>
        <rFont val="Arial Narrow"/>
        <family val="2"/>
      </rPr>
      <t>(optimistic + most likely + pessimistic) / 3 = ($77,068 + $90,883 + $127,224) / 3 = $98,391.67 per year</t>
    </r>
  </si>
  <si>
    <t>$98,391.67 per year</t>
  </si>
  <si>
    <t>Pessimistic Network Engineer Salary</t>
  </si>
  <si>
    <t>Most Likely Network Engineer Salary</t>
  </si>
  <si>
    <t>Optimistic Network Engineer Salary</t>
  </si>
  <si>
    <t>$/year</t>
  </si>
  <si>
    <t>Eliminates requirement of patrol employees, therefore eliminating salary costs</t>
  </si>
  <si>
    <t>Reduces wasted productivity potential of security employees by allowing them to surveil the whole facility at once</t>
  </si>
  <si>
    <t>Protects security data transferred throughout the facility from being deciphered</t>
  </si>
  <si>
    <t>Expected value of financial benefit encryption has over a data breach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</si>
</sst>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8" formatCode="&quot;$&quot;#,##0.00;[Red]\-&quot;$&quot;#,##0.00"/>
    <numFmt numFmtId="164" formatCode="&quot;$&quot;#,##0.00"/>
  </numFmts>
  <fonts count="19" x14ac:knownFonts="1">
    <font>
      <sz val="11"/>
      <color theme="1"/>
      <name val="Aptos Narrow"/>
      <family val="2"/>
      <scheme val="minor"/>
    </font>
    <font>
      <sz val="12"/>
      <color theme="1"/>
      <name val="Arial Narrow"/>
      <family val="2"/>
    </font>
    <font>
      <b/>
      <sz val="12"/>
      <color theme="1"/>
      <name val="Arial Narrow"/>
      <family val="2"/>
    </font>
    <font>
      <b/>
      <sz val="11"/>
      <color rgb="FF000000"/>
      <name val="Arial Narrow"/>
      <family val="2"/>
    </font>
    <font>
      <sz val="11"/>
      <color theme="1"/>
      <name val="Arial Narrow"/>
      <family val="2"/>
    </font>
    <font>
      <sz val="12"/>
      <color rgb="FF000000"/>
      <name val="Arial Narrow"/>
      <family val="2"/>
    </font>
    <font>
      <b/>
      <sz val="10"/>
      <color rgb="FF000000"/>
      <name val="Arial Narrow"/>
      <family val="2"/>
    </font>
    <font>
      <b/>
      <sz val="10"/>
      <color theme="1"/>
      <name val="Arial Narrow"/>
      <family val="2"/>
    </font>
    <font>
      <sz val="10"/>
      <color theme="1"/>
      <name val="Arial Narrow"/>
      <family val="2"/>
    </font>
    <font>
      <b/>
      <sz val="11"/>
      <color theme="1"/>
      <name val="Arial Narrow"/>
      <family val="2"/>
    </font>
    <font>
      <b/>
      <sz val="12"/>
      <color rgb="FFEE0000"/>
      <name val="Arial Narrow"/>
      <family val="2"/>
    </font>
    <font>
      <sz val="12"/>
      <color rgb="FFEE0000"/>
      <name val="Arial Narrow"/>
      <family val="2"/>
    </font>
    <font>
      <b/>
      <sz val="11"/>
      <color theme="1"/>
      <name val="Aptos Narrow"/>
      <family val="2"/>
      <scheme val="minor"/>
    </font>
    <font>
      <sz val="11"/>
      <color theme="1"/>
      <name val="Aptos"/>
      <family val="2"/>
    </font>
    <font>
      <u/>
      <sz val="11"/>
      <color theme="10"/>
      <name val="Aptos Narrow"/>
      <family val="2"/>
      <scheme val="minor"/>
    </font>
    <font>
      <sz val="10"/>
      <color theme="1"/>
      <name val="Arial Narrow"/>
    </font>
    <font>
      <b/>
      <sz val="10"/>
      <color theme="1"/>
      <name val="Arial Narrow"/>
    </font>
    <font>
      <sz val="10"/>
      <name val="Arial Narrow"/>
      <family val="2"/>
    </font>
    <font>
      <b/>
      <sz val="10"/>
      <name val="Arial Narrow"/>
      <family val="2"/>
    </font>
  </fonts>
  <fills count="7">
    <fill>
      <patternFill patternType="none"/>
    </fill>
    <fill>
      <patternFill patternType="gray125"/>
    </fill>
    <fill>
      <patternFill patternType="solid">
        <fgColor rgb="FFE8E8E8"/>
        <bgColor indexed="64"/>
      </patternFill>
    </fill>
    <fill>
      <patternFill patternType="solid">
        <fgColor rgb="FFD9D9D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rgb="FF7F7F7F"/>
      </top>
      <bottom style="medium">
        <color rgb="FF7F7F7F"/>
      </bottom>
      <diagonal/>
    </border>
    <border>
      <left/>
      <right/>
      <top/>
      <bottom style="medium">
        <color rgb="FF7F7F7F"/>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s>
  <cellStyleXfs count="2">
    <xf numFmtId="0" fontId="0" fillId="0" borderId="0"/>
    <xf numFmtId="0" fontId="14" fillId="0" borderId="0" applyNumberFormat="0" applyFill="0" applyBorder="0" applyAlignment="0" applyProtection="0"/>
  </cellStyleXfs>
  <cellXfs count="64">
    <xf numFmtId="0" fontId="0" fillId="0" borderId="0" xfId="0"/>
    <xf numFmtId="0" fontId="3" fillId="2" borderId="1" xfId="0" applyFont="1" applyFill="1" applyBorder="1" applyAlignment="1">
      <alignment horizontal="left" vertical="center" wrapText="1"/>
    </xf>
    <xf numFmtId="0" fontId="4" fillId="0" borderId="2" xfId="0" applyFont="1" applyBorder="1" applyAlignment="1">
      <alignment horizontal="left" vertical="center" wrapText="1"/>
    </xf>
    <xf numFmtId="0" fontId="3" fillId="2" borderId="3" xfId="0" applyFont="1" applyFill="1" applyBorder="1" applyAlignment="1">
      <alignment horizontal="left" vertical="center" wrapText="1"/>
    </xf>
    <xf numFmtId="0" fontId="0" fillId="0" borderId="3" xfId="0" applyBorder="1"/>
    <xf numFmtId="0" fontId="4" fillId="0" borderId="3" xfId="0" applyFont="1"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horizontal="left" vertical="center" wrapText="1"/>
    </xf>
    <xf numFmtId="0" fontId="3" fillId="2" borderId="4" xfId="0" applyFont="1" applyFill="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6" fillId="3" borderId="6" xfId="0" applyFont="1" applyFill="1" applyBorder="1" applyAlignment="1">
      <alignment horizontal="justify" vertical="center" wrapText="1"/>
    </xf>
    <xf numFmtId="0" fontId="7" fillId="0" borderId="7" xfId="0" applyFont="1" applyBorder="1" applyAlignment="1">
      <alignment horizontal="left" vertical="center" wrapText="1"/>
    </xf>
    <xf numFmtId="0" fontId="8" fillId="0" borderId="7" xfId="0" applyFont="1" applyBorder="1" applyAlignment="1">
      <alignment horizontal="left" vertical="center" wrapText="1"/>
    </xf>
    <xf numFmtId="6" fontId="7" fillId="0" borderId="7" xfId="0" applyNumberFormat="1"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8" fillId="0" borderId="6" xfId="0" applyFont="1" applyBorder="1" applyAlignment="1">
      <alignment horizontal="left" vertical="center" wrapText="1"/>
    </xf>
    <xf numFmtId="6" fontId="7" fillId="0" borderId="6" xfId="0" applyNumberFormat="1" applyFont="1" applyBorder="1" applyAlignment="1">
      <alignment horizontal="left" vertical="center" wrapText="1"/>
    </xf>
    <xf numFmtId="0" fontId="7" fillId="0" borderId="6" xfId="0" applyFont="1" applyBorder="1" applyAlignment="1">
      <alignment horizontal="justify" vertical="center" wrapText="1"/>
    </xf>
    <xf numFmtId="0" fontId="8" fillId="0" borderId="6" xfId="0" applyFont="1" applyBorder="1" applyAlignment="1">
      <alignment horizontal="justify"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9" fillId="0" borderId="10" xfId="0" applyFont="1" applyBorder="1" applyAlignment="1">
      <alignment horizontal="left" vertical="center" wrapText="1"/>
    </xf>
    <xf numFmtId="0" fontId="4"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0" borderId="0" xfId="0" applyFont="1" applyAlignment="1">
      <alignment horizontal="left" vertical="center" wrapText="1"/>
    </xf>
    <xf numFmtId="0" fontId="5" fillId="3" borderId="6" xfId="0" applyFont="1" applyFill="1" applyBorder="1" applyAlignment="1">
      <alignment horizontal="justify" vertical="center" wrapText="1"/>
    </xf>
    <xf numFmtId="0" fontId="1" fillId="0" borderId="7" xfId="0" applyFont="1" applyBorder="1" applyAlignment="1">
      <alignment horizontal="left" vertical="center" wrapText="1"/>
    </xf>
    <xf numFmtId="0" fontId="1" fillId="0" borderId="0" xfId="0" applyFont="1" applyAlignment="1">
      <alignment horizontal="left" vertical="center" wrapText="1"/>
    </xf>
    <xf numFmtId="0" fontId="1" fillId="0" borderId="6" xfId="0" applyFont="1" applyBorder="1" applyAlignment="1">
      <alignment horizontal="left" vertical="center" wrapText="1"/>
    </xf>
    <xf numFmtId="0" fontId="0" fillId="4" borderId="3" xfId="0" applyFill="1" applyBorder="1"/>
    <xf numFmtId="0" fontId="0" fillId="5" borderId="3" xfId="0" applyFill="1" applyBorder="1"/>
    <xf numFmtId="0" fontId="0" fillId="6" borderId="3" xfId="0" applyFill="1" applyBorder="1"/>
    <xf numFmtId="0" fontId="12" fillId="4" borderId="3" xfId="0" applyFont="1" applyFill="1" applyBorder="1"/>
    <xf numFmtId="0" fontId="12" fillId="5" borderId="3" xfId="0" applyFont="1" applyFill="1" applyBorder="1"/>
    <xf numFmtId="0" fontId="12" fillId="6" borderId="3" xfId="0" applyFont="1" applyFill="1" applyBorder="1"/>
    <xf numFmtId="0" fontId="12" fillId="0" borderId="3" xfId="0" applyFont="1" applyBorder="1"/>
    <xf numFmtId="0" fontId="12" fillId="0" borderId="0" xfId="0" applyFont="1"/>
    <xf numFmtId="4" fontId="0" fillId="0" borderId="3" xfId="0" applyNumberFormat="1" applyBorder="1"/>
    <xf numFmtId="0" fontId="0" fillId="0" borderId="3" xfId="0" applyBorder="1" applyAlignment="1">
      <alignment wrapText="1"/>
    </xf>
    <xf numFmtId="0" fontId="13" fillId="0" borderId="0" xfId="0" applyFont="1" applyAlignment="1">
      <alignment vertical="center" wrapText="1"/>
    </xf>
    <xf numFmtId="6" fontId="7" fillId="0" borderId="6" xfId="0" applyNumberFormat="1" applyFont="1" applyBorder="1" applyAlignment="1">
      <alignment horizontal="justify" vertical="center" wrapText="1"/>
    </xf>
    <xf numFmtId="0" fontId="15" fillId="0" borderId="7" xfId="0" applyFont="1" applyBorder="1" applyAlignment="1">
      <alignment horizontal="justify" vertical="center" wrapText="1"/>
    </xf>
    <xf numFmtId="0" fontId="16" fillId="0" borderId="7" xfId="0" applyFont="1" applyBorder="1" applyAlignment="1">
      <alignment horizontal="justify" vertical="center" wrapText="1"/>
    </xf>
    <xf numFmtId="0" fontId="8" fillId="0" borderId="0" xfId="0" applyFont="1"/>
    <xf numFmtId="0" fontId="8" fillId="0" borderId="0" xfId="0" applyFont="1" applyAlignment="1">
      <alignment wrapText="1"/>
    </xf>
    <xf numFmtId="0" fontId="7" fillId="0" borderId="0" xfId="0" applyFont="1" applyAlignment="1">
      <alignment wrapText="1"/>
    </xf>
    <xf numFmtId="0" fontId="17" fillId="0" borderId="6" xfId="1" applyFont="1" applyBorder="1" applyAlignment="1">
      <alignment horizontal="justify" vertical="center" wrapText="1"/>
    </xf>
    <xf numFmtId="8" fontId="9" fillId="0" borderId="11" xfId="0" applyNumberFormat="1" applyFont="1" applyBorder="1" applyAlignment="1">
      <alignment horizontal="left" vertical="center" wrapText="1"/>
    </xf>
    <xf numFmtId="164" fontId="10" fillId="0" borderId="7" xfId="0" applyNumberFormat="1" applyFont="1" applyBorder="1" applyAlignment="1">
      <alignment horizontal="left" vertical="center" wrapText="1"/>
    </xf>
    <xf numFmtId="164" fontId="11" fillId="0" borderId="0" xfId="0" applyNumberFormat="1" applyFont="1" applyAlignment="1">
      <alignment horizontal="left" vertical="center" wrapText="1"/>
    </xf>
    <xf numFmtId="164" fontId="1" fillId="0" borderId="7" xfId="0" applyNumberFormat="1" applyFont="1" applyBorder="1" applyAlignment="1">
      <alignment horizontal="left" vertical="center" wrapText="1"/>
    </xf>
    <xf numFmtId="164" fontId="1" fillId="0" borderId="6" xfId="0" applyNumberFormat="1" applyFont="1" applyBorder="1" applyAlignment="1">
      <alignment horizontal="left" vertical="center" wrapText="1"/>
    </xf>
    <xf numFmtId="164" fontId="2" fillId="0" borderId="6" xfId="0" applyNumberFormat="1" applyFont="1" applyBorder="1" applyAlignment="1">
      <alignment horizontal="left" vertical="center" wrapText="1"/>
    </xf>
    <xf numFmtId="0" fontId="0" fillId="0" borderId="3" xfId="0" applyBorder="1" applyAlignment="1">
      <alignment vertical="top" wrapText="1"/>
    </xf>
    <xf numFmtId="0" fontId="13" fillId="0" borderId="3" xfId="0" applyFont="1" applyBorder="1" applyAlignment="1">
      <alignment vertical="center" wrapText="1"/>
    </xf>
    <xf numFmtId="0" fontId="8" fillId="0" borderId="0" xfId="0" applyFont="1" applyAlignment="1">
      <alignment vertical="top" wrapText="1"/>
    </xf>
    <xf numFmtId="2" fontId="0" fillId="4" borderId="3" xfId="0" applyNumberFormat="1" applyFill="1" applyBorder="1"/>
    <xf numFmtId="2" fontId="0" fillId="5" borderId="3" xfId="0" applyNumberFormat="1" applyFill="1" applyBorder="1"/>
    <xf numFmtId="2" fontId="0" fillId="6" borderId="3" xfId="0" applyNumberFormat="1" applyFill="1" applyBorder="1"/>
    <xf numFmtId="2" fontId="0" fillId="0" borderId="0" xfId="0" applyNumberFormat="1"/>
    <xf numFmtId="0" fontId="12" fillId="0" borderId="0" xfId="0" applyFont="1" applyAlignment="1">
      <alignment horizontal="center"/>
    </xf>
    <xf numFmtId="0" fontId="7" fillId="0" borderId="7" xfId="0" applyFont="1" applyBorder="1" applyAlignment="1">
      <alignment horizontal="justify"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89B8-ECE4-497F-8805-EE843CFD2CFA}">
  <dimension ref="A1:G6"/>
  <sheetViews>
    <sheetView workbookViewId="0">
      <selection activeCell="F6" sqref="F6"/>
    </sheetView>
  </sheetViews>
  <sheetFormatPr defaultRowHeight="14.4" x14ac:dyDescent="0.3"/>
  <cols>
    <col min="1" max="1" width="30.6640625" customWidth="1"/>
    <col min="4" max="4" width="38.109375" customWidth="1"/>
    <col min="6" max="6" width="111.21875" customWidth="1"/>
    <col min="7" max="7" width="8.21875" customWidth="1"/>
  </cols>
  <sheetData>
    <row r="1" spans="1:7" x14ac:dyDescent="0.3">
      <c r="A1" s="3" t="s">
        <v>0</v>
      </c>
      <c r="B1" s="4" t="s">
        <v>1</v>
      </c>
      <c r="C1" s="4" t="s">
        <v>2</v>
      </c>
      <c r="D1" s="4" t="s">
        <v>3</v>
      </c>
      <c r="F1" t="s">
        <v>114</v>
      </c>
    </row>
    <row r="2" spans="1:7" ht="187.2" x14ac:dyDescent="0.3">
      <c r="A2" s="5" t="s">
        <v>38</v>
      </c>
      <c r="B2" s="6">
        <v>323</v>
      </c>
      <c r="C2" s="6" t="s">
        <v>43</v>
      </c>
      <c r="D2" s="7" t="s">
        <v>110</v>
      </c>
      <c r="F2" s="41" t="s">
        <v>115</v>
      </c>
      <c r="G2" s="41"/>
    </row>
    <row r="3" spans="1:7" ht="288" x14ac:dyDescent="0.3">
      <c r="A3" s="5" t="s">
        <v>39</v>
      </c>
      <c r="B3" s="39">
        <v>3431.6</v>
      </c>
      <c r="C3" s="4" t="s">
        <v>44</v>
      </c>
      <c r="D3" s="40" t="s">
        <v>111</v>
      </c>
      <c r="F3" s="41"/>
      <c r="G3" s="41"/>
    </row>
    <row r="4" spans="1:7" ht="259.2" x14ac:dyDescent="0.3">
      <c r="A4" s="5" t="s">
        <v>40</v>
      </c>
      <c r="B4" s="4">
        <v>99.999989999999997</v>
      </c>
      <c r="C4" s="4" t="s">
        <v>45</v>
      </c>
      <c r="D4" s="55" t="s">
        <v>46</v>
      </c>
      <c r="F4" s="41"/>
      <c r="G4" s="41"/>
    </row>
    <row r="5" spans="1:7" ht="244.8" x14ac:dyDescent="0.3">
      <c r="A5" s="5" t="s">
        <v>41</v>
      </c>
      <c r="B5" s="4">
        <v>149.53700000000001</v>
      </c>
      <c r="C5" s="4" t="s">
        <v>47</v>
      </c>
      <c r="D5" s="40" t="s">
        <v>112</v>
      </c>
      <c r="F5" s="41"/>
      <c r="G5" s="41"/>
    </row>
    <row r="6" spans="1:7" ht="201.6" x14ac:dyDescent="0.3">
      <c r="A6" s="5" t="s">
        <v>42</v>
      </c>
      <c r="B6" s="4" t="s">
        <v>48</v>
      </c>
      <c r="C6" s="4" t="s">
        <v>49</v>
      </c>
      <c r="D6" s="56"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4B8C1-06DA-4FD0-A30A-99C95DAA62CB}">
  <dimension ref="A1:F33"/>
  <sheetViews>
    <sheetView topLeftCell="A25" zoomScale="94" workbookViewId="0">
      <selection activeCell="C26" sqref="C26"/>
    </sheetView>
  </sheetViews>
  <sheetFormatPr defaultRowHeight="14.4" x14ac:dyDescent="0.3"/>
  <cols>
    <col min="1" max="1" width="22.109375" customWidth="1"/>
    <col min="2" max="2" width="23.33203125" customWidth="1"/>
    <col min="3" max="3" width="19.109375" customWidth="1"/>
    <col min="4" max="4" width="21.33203125" customWidth="1"/>
    <col min="5" max="5" width="27.6640625" bestFit="1" customWidth="1"/>
    <col min="6" max="6" width="12.109375" bestFit="1" customWidth="1"/>
  </cols>
  <sheetData>
    <row r="1" spans="1:6" ht="15" thickBot="1" x14ac:dyDescent="0.35">
      <c r="A1" t="s">
        <v>4</v>
      </c>
    </row>
    <row r="2" spans="1:6" ht="15" thickBot="1" x14ac:dyDescent="0.35">
      <c r="A2" s="1" t="s">
        <v>0</v>
      </c>
      <c r="B2" s="8" t="s">
        <v>5</v>
      </c>
      <c r="C2" s="8" t="s">
        <v>6</v>
      </c>
    </row>
    <row r="3" spans="1:6" ht="15" thickBot="1" x14ac:dyDescent="0.35">
      <c r="A3" s="2" t="s">
        <v>38</v>
      </c>
      <c r="B3" s="9" t="s">
        <v>106</v>
      </c>
      <c r="C3" s="9" t="s">
        <v>61</v>
      </c>
    </row>
    <row r="4" spans="1:6" ht="28.2" thickBot="1" x14ac:dyDescent="0.35">
      <c r="A4" s="2" t="s">
        <v>39</v>
      </c>
      <c r="B4" s="9" t="s">
        <v>124</v>
      </c>
      <c r="C4" s="9" t="s">
        <v>91</v>
      </c>
    </row>
    <row r="5" spans="1:6" ht="42" thickBot="1" x14ac:dyDescent="0.35">
      <c r="A5" s="2" t="s">
        <v>40</v>
      </c>
      <c r="B5" s="9" t="s">
        <v>55</v>
      </c>
      <c r="C5" s="9" t="s">
        <v>109</v>
      </c>
    </row>
    <row r="6" spans="1:6" ht="42" thickBot="1" x14ac:dyDescent="0.35">
      <c r="A6" s="2" t="s">
        <v>41</v>
      </c>
      <c r="B6" s="9" t="s">
        <v>108</v>
      </c>
      <c r="C6" s="9" t="s">
        <v>62</v>
      </c>
    </row>
    <row r="7" spans="1:6" ht="28.2" thickBot="1" x14ac:dyDescent="0.35">
      <c r="A7" s="2" t="s">
        <v>42</v>
      </c>
      <c r="B7" s="9" t="s">
        <v>54</v>
      </c>
      <c r="C7" s="9" t="s">
        <v>63</v>
      </c>
    </row>
    <row r="9" spans="1:6" ht="15" thickBot="1" x14ac:dyDescent="0.35">
      <c r="A9" s="10" t="s">
        <v>7</v>
      </c>
    </row>
    <row r="10" spans="1:6" ht="28.2" thickBot="1" x14ac:dyDescent="0.35">
      <c r="A10" s="11" t="s">
        <v>8</v>
      </c>
      <c r="B10" s="11" t="s">
        <v>9</v>
      </c>
      <c r="C10" s="11" t="s">
        <v>10</v>
      </c>
      <c r="D10" s="11" t="s">
        <v>11</v>
      </c>
      <c r="E10" s="11" t="s">
        <v>12</v>
      </c>
      <c r="F10" s="11" t="s">
        <v>13</v>
      </c>
    </row>
    <row r="11" spans="1:6" ht="28.2" thickBot="1" x14ac:dyDescent="0.35">
      <c r="A11" s="12" t="s">
        <v>106</v>
      </c>
      <c r="B11" s="13" t="s">
        <v>71</v>
      </c>
      <c r="C11" s="13" t="s">
        <v>50</v>
      </c>
      <c r="D11" s="13" t="s">
        <v>51</v>
      </c>
      <c r="E11" s="13" t="s">
        <v>100</v>
      </c>
      <c r="F11" s="14">
        <v>32300</v>
      </c>
    </row>
    <row r="12" spans="1:6" ht="111" thickBot="1" x14ac:dyDescent="0.35">
      <c r="A12" s="12" t="s">
        <v>116</v>
      </c>
      <c r="B12" s="13" t="s">
        <v>131</v>
      </c>
      <c r="C12" s="13" t="s">
        <v>52</v>
      </c>
      <c r="D12" s="13" t="s">
        <v>51</v>
      </c>
      <c r="E12" s="12" t="s">
        <v>123</v>
      </c>
      <c r="F12" s="14" t="s">
        <v>118</v>
      </c>
    </row>
    <row r="13" spans="1:6" ht="28.2" thickBot="1" x14ac:dyDescent="0.35">
      <c r="A13" s="16" t="s">
        <v>107</v>
      </c>
      <c r="B13" s="17" t="s">
        <v>72</v>
      </c>
      <c r="C13" s="17" t="s">
        <v>50</v>
      </c>
      <c r="D13" s="17" t="s">
        <v>51</v>
      </c>
      <c r="E13" s="16" t="s">
        <v>117</v>
      </c>
      <c r="F13" s="18">
        <v>102948</v>
      </c>
    </row>
    <row r="14" spans="1:6" ht="42" thickBot="1" x14ac:dyDescent="0.35">
      <c r="A14" s="15" t="s">
        <v>55</v>
      </c>
      <c r="B14" s="46" t="s">
        <v>130</v>
      </c>
      <c r="C14" s="45" t="s">
        <v>52</v>
      </c>
      <c r="D14" s="45" t="s">
        <v>51</v>
      </c>
      <c r="E14" s="57" t="s">
        <v>102</v>
      </c>
      <c r="F14" s="47" t="s">
        <v>65</v>
      </c>
    </row>
    <row r="15" spans="1:6" ht="28.2" thickBot="1" x14ac:dyDescent="0.35">
      <c r="A15" s="19" t="s">
        <v>108</v>
      </c>
      <c r="B15" s="20" t="s">
        <v>105</v>
      </c>
      <c r="C15" s="20" t="s">
        <v>50</v>
      </c>
      <c r="D15" s="20" t="s">
        <v>51</v>
      </c>
      <c r="E15" s="48" t="s">
        <v>101</v>
      </c>
      <c r="F15" s="42">
        <v>3000</v>
      </c>
    </row>
    <row r="16" spans="1:6" ht="55.8" thickBot="1" x14ac:dyDescent="0.35">
      <c r="A16" s="44" t="s">
        <v>54</v>
      </c>
      <c r="B16" s="43" t="s">
        <v>129</v>
      </c>
      <c r="C16" s="43" t="s">
        <v>52</v>
      </c>
      <c r="D16" s="43" t="s">
        <v>64</v>
      </c>
      <c r="E16" s="63" t="s">
        <v>132</v>
      </c>
      <c r="F16" s="14" t="s">
        <v>133</v>
      </c>
    </row>
    <row r="19" spans="1:6" ht="15" thickBot="1" x14ac:dyDescent="0.35">
      <c r="A19" t="s">
        <v>14</v>
      </c>
    </row>
    <row r="20" spans="1:6" ht="28.2" thickBot="1" x14ac:dyDescent="0.35">
      <c r="A20" s="21" t="s">
        <v>15</v>
      </c>
      <c r="B20" s="22" t="s">
        <v>16</v>
      </c>
      <c r="C20" s="22" t="s">
        <v>17</v>
      </c>
      <c r="D20" s="22" t="s">
        <v>18</v>
      </c>
      <c r="E20" s="22" t="s">
        <v>19</v>
      </c>
    </row>
    <row r="21" spans="1:6" ht="69.599999999999994" thickBot="1" x14ac:dyDescent="0.35">
      <c r="A21" s="23" t="s">
        <v>61</v>
      </c>
      <c r="B21" s="24" t="s">
        <v>138</v>
      </c>
      <c r="C21" s="24" t="s">
        <v>57</v>
      </c>
      <c r="D21" s="24" t="s">
        <v>125</v>
      </c>
      <c r="E21" s="25" t="s">
        <v>53</v>
      </c>
    </row>
    <row r="22" spans="1:6" ht="42" thickBot="1" x14ac:dyDescent="0.35">
      <c r="A22" s="23" t="s">
        <v>91</v>
      </c>
      <c r="B22" s="24" t="s">
        <v>58</v>
      </c>
      <c r="C22" s="24" t="s">
        <v>59</v>
      </c>
      <c r="D22" s="24" t="s">
        <v>126</v>
      </c>
      <c r="E22" s="25" t="s">
        <v>66</v>
      </c>
    </row>
    <row r="23" spans="1:6" ht="69.599999999999994" thickBot="1" x14ac:dyDescent="0.35">
      <c r="A23" s="23" t="s">
        <v>109</v>
      </c>
      <c r="B23" s="24" t="s">
        <v>68</v>
      </c>
      <c r="C23" s="24" t="s">
        <v>69</v>
      </c>
      <c r="D23" s="24" t="s">
        <v>128</v>
      </c>
      <c r="E23" s="25" t="s">
        <v>60</v>
      </c>
    </row>
    <row r="24" spans="1:6" ht="69" x14ac:dyDescent="0.3">
      <c r="A24" s="23" t="s">
        <v>62</v>
      </c>
      <c r="B24" s="24" t="s">
        <v>139</v>
      </c>
      <c r="C24" s="24" t="s">
        <v>70</v>
      </c>
      <c r="D24" s="24" t="s">
        <v>103</v>
      </c>
      <c r="E24" s="25" t="s">
        <v>67</v>
      </c>
    </row>
    <row r="25" spans="1:6" ht="55.2" x14ac:dyDescent="0.3">
      <c r="A25" s="23" t="s">
        <v>63</v>
      </c>
      <c r="B25" s="24" t="s">
        <v>140</v>
      </c>
      <c r="C25" s="24" t="s">
        <v>141</v>
      </c>
      <c r="D25" s="24" t="s">
        <v>104</v>
      </c>
      <c r="E25" s="49" t="s">
        <v>127</v>
      </c>
    </row>
    <row r="28" spans="1:6" ht="15" thickBot="1" x14ac:dyDescent="0.35">
      <c r="A28" s="26" t="s">
        <v>20</v>
      </c>
    </row>
    <row r="29" spans="1:6" ht="16.2" thickBot="1" x14ac:dyDescent="0.35">
      <c r="A29" s="27" t="s">
        <v>21</v>
      </c>
      <c r="B29" s="27" t="s">
        <v>22</v>
      </c>
      <c r="C29" s="27" t="s">
        <v>23</v>
      </c>
      <c r="D29" s="27" t="s">
        <v>24</v>
      </c>
      <c r="E29" s="27" t="s">
        <v>25</v>
      </c>
      <c r="F29" s="27" t="s">
        <v>26</v>
      </c>
    </row>
    <row r="30" spans="1:6" ht="15.6" x14ac:dyDescent="0.3">
      <c r="A30" s="28" t="s">
        <v>27</v>
      </c>
      <c r="B30" s="50">
        <v>-138248</v>
      </c>
      <c r="C30" s="52">
        <v>0</v>
      </c>
      <c r="D30" s="52">
        <v>0</v>
      </c>
      <c r="E30" s="52">
        <v>0</v>
      </c>
      <c r="F30" s="52">
        <v>0</v>
      </c>
    </row>
    <row r="31" spans="1:6" ht="15.6" x14ac:dyDescent="0.3">
      <c r="A31" s="29" t="s">
        <v>28</v>
      </c>
      <c r="B31" s="51">
        <v>-211720.39</v>
      </c>
      <c r="C31" s="51">
        <v>-211720.39</v>
      </c>
      <c r="D31" s="51">
        <v>-211720.39</v>
      </c>
      <c r="E31" s="51">
        <v>-211720.39</v>
      </c>
      <c r="F31" s="51">
        <v>-211720.39</v>
      </c>
    </row>
    <row r="32" spans="1:6" ht="15.6" x14ac:dyDescent="0.3">
      <c r="A32" s="30" t="s">
        <v>29</v>
      </c>
      <c r="B32" s="53">
        <v>0</v>
      </c>
      <c r="C32" s="54">
        <v>763113.53</v>
      </c>
      <c r="D32" s="54">
        <v>763113.53</v>
      </c>
      <c r="E32" s="54">
        <v>763113.53</v>
      </c>
      <c r="F32" s="54">
        <v>763113.53</v>
      </c>
    </row>
    <row r="33" spans="1:6" ht="15.6" x14ac:dyDescent="0.3">
      <c r="A33" s="28" t="s">
        <v>30</v>
      </c>
      <c r="B33" s="50">
        <v>-349968.39</v>
      </c>
      <c r="C33" s="50">
        <v>551393.14</v>
      </c>
      <c r="D33" s="50">
        <v>551393.14</v>
      </c>
      <c r="E33" s="50">
        <v>551393.14</v>
      </c>
      <c r="F33" s="50">
        <v>551393.14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344D4-41D2-43C2-9E94-F3259B59456D}">
  <dimension ref="A1:P16"/>
  <sheetViews>
    <sheetView tabSelected="1" zoomScale="75" workbookViewId="0">
      <selection activeCell="D28" sqref="D28"/>
    </sheetView>
  </sheetViews>
  <sheetFormatPr defaultRowHeight="14.4" x14ac:dyDescent="0.3"/>
  <cols>
    <col min="2" max="2" width="48.44140625" customWidth="1"/>
    <col min="3" max="3" width="11.5546875" bestFit="1" customWidth="1"/>
    <col min="4" max="7" width="10.88671875" bestFit="1" customWidth="1"/>
    <col min="8" max="8" width="13" bestFit="1" customWidth="1"/>
    <col min="10" max="10" width="32.5546875" customWidth="1"/>
    <col min="12" max="12" width="19" customWidth="1"/>
    <col min="13" max="13" width="9.21875" customWidth="1"/>
    <col min="14" max="14" width="27.88671875" customWidth="1"/>
    <col min="15" max="15" width="18.33203125" customWidth="1"/>
  </cols>
  <sheetData>
    <row r="1" spans="1:16" x14ac:dyDescent="0.3">
      <c r="C1" s="62" t="s">
        <v>31</v>
      </c>
      <c r="D1" s="62"/>
      <c r="E1" s="62"/>
      <c r="F1" s="62"/>
      <c r="G1" s="62"/>
      <c r="J1" t="s">
        <v>73</v>
      </c>
      <c r="N1" t="s">
        <v>75</v>
      </c>
    </row>
    <row r="2" spans="1:16" x14ac:dyDescent="0.3">
      <c r="A2" s="4"/>
      <c r="B2" s="37" t="s">
        <v>32</v>
      </c>
      <c r="C2" s="37">
        <v>1</v>
      </c>
      <c r="D2" s="37">
        <v>2</v>
      </c>
      <c r="E2" s="37">
        <v>3</v>
      </c>
      <c r="F2" s="37">
        <v>4</v>
      </c>
      <c r="G2" s="37">
        <v>5</v>
      </c>
      <c r="J2" t="s">
        <v>38</v>
      </c>
      <c r="K2">
        <v>323</v>
      </c>
      <c r="L2" t="s">
        <v>43</v>
      </c>
      <c r="N2" t="s">
        <v>76</v>
      </c>
      <c r="O2">
        <v>100</v>
      </c>
      <c r="P2" t="s">
        <v>77</v>
      </c>
    </row>
    <row r="3" spans="1:16" x14ac:dyDescent="0.3">
      <c r="A3" s="34" t="s">
        <v>33</v>
      </c>
      <c r="B3" s="31" t="s">
        <v>71</v>
      </c>
      <c r="C3" s="58">
        <f>-O2*K2</f>
        <v>-32300</v>
      </c>
      <c r="D3" s="58">
        <v>0</v>
      </c>
      <c r="E3" s="58">
        <v>0</v>
      </c>
      <c r="F3" s="58">
        <v>0</v>
      </c>
      <c r="G3" s="58">
        <v>0</v>
      </c>
      <c r="J3" t="s">
        <v>74</v>
      </c>
      <c r="K3">
        <v>3431.6</v>
      </c>
      <c r="L3" t="s">
        <v>44</v>
      </c>
      <c r="N3" t="s">
        <v>78</v>
      </c>
      <c r="O3">
        <v>30</v>
      </c>
      <c r="P3" t="s">
        <v>79</v>
      </c>
    </row>
    <row r="4" spans="1:16" x14ac:dyDescent="0.3">
      <c r="A4" s="31"/>
      <c r="B4" s="31" t="s">
        <v>72</v>
      </c>
      <c r="C4" s="58">
        <f>-O3*K3</f>
        <v>-102948</v>
      </c>
      <c r="D4" s="58">
        <v>0</v>
      </c>
      <c r="E4" s="58">
        <v>0</v>
      </c>
      <c r="F4" s="58">
        <v>0</v>
      </c>
      <c r="G4" s="58">
        <v>0</v>
      </c>
      <c r="J4" t="s">
        <v>84</v>
      </c>
      <c r="K4">
        <v>149.53700000000001</v>
      </c>
      <c r="L4" t="s">
        <v>47</v>
      </c>
      <c r="N4" t="s">
        <v>85</v>
      </c>
      <c r="O4">
        <v>35.875</v>
      </c>
      <c r="P4" t="s">
        <v>47</v>
      </c>
    </row>
    <row r="5" spans="1:16" x14ac:dyDescent="0.3">
      <c r="A5" s="31"/>
      <c r="B5" s="31" t="s">
        <v>80</v>
      </c>
      <c r="C5" s="58">
        <f>-K5*O5</f>
        <v>-3000</v>
      </c>
      <c r="D5" s="58">
        <v>0</v>
      </c>
      <c r="E5" s="58">
        <v>0</v>
      </c>
      <c r="F5" s="58">
        <v>0</v>
      </c>
      <c r="G5" s="58">
        <v>0</v>
      </c>
      <c r="J5" t="s">
        <v>81</v>
      </c>
      <c r="K5">
        <f>_xlfn.CEILING.MATH(K4/O4)</f>
        <v>5</v>
      </c>
      <c r="L5" t="s">
        <v>43</v>
      </c>
      <c r="N5" t="s">
        <v>82</v>
      </c>
      <c r="O5">
        <v>600</v>
      </c>
      <c r="P5" t="s">
        <v>83</v>
      </c>
    </row>
    <row r="6" spans="1:16" x14ac:dyDescent="0.3">
      <c r="A6" s="31"/>
      <c r="B6" s="31"/>
      <c r="C6" s="58"/>
      <c r="D6" s="58"/>
      <c r="E6" s="58"/>
      <c r="F6" s="58"/>
      <c r="G6" s="58"/>
      <c r="J6" t="s">
        <v>94</v>
      </c>
      <c r="K6">
        <v>10000</v>
      </c>
      <c r="L6" t="s">
        <v>95</v>
      </c>
      <c r="N6" t="s">
        <v>86</v>
      </c>
      <c r="O6">
        <v>200</v>
      </c>
      <c r="P6" t="s">
        <v>77</v>
      </c>
    </row>
    <row r="7" spans="1:16" x14ac:dyDescent="0.3">
      <c r="A7" s="35" t="s">
        <v>34</v>
      </c>
      <c r="B7" s="32" t="s">
        <v>55</v>
      </c>
      <c r="C7" s="59">
        <f>-K2*O6</f>
        <v>-64600</v>
      </c>
      <c r="D7" s="59">
        <f>-K2*O6</f>
        <v>-64600</v>
      </c>
      <c r="E7" s="59">
        <f>-K2*O6</f>
        <v>-64600</v>
      </c>
      <c r="F7" s="59">
        <f>-K2*O6</f>
        <v>-64600</v>
      </c>
      <c r="G7" s="59">
        <f>-K2*O6</f>
        <v>-64600</v>
      </c>
      <c r="J7" t="s">
        <v>96</v>
      </c>
      <c r="K7">
        <v>276753</v>
      </c>
      <c r="L7" t="s">
        <v>95</v>
      </c>
      <c r="N7" t="s">
        <v>88</v>
      </c>
      <c r="O7">
        <v>35</v>
      </c>
      <c r="P7" t="s">
        <v>89</v>
      </c>
    </row>
    <row r="8" spans="1:16" x14ac:dyDescent="0.3">
      <c r="A8" s="32"/>
      <c r="B8" s="32" t="s">
        <v>129</v>
      </c>
      <c r="C8" s="59">
        <f>-(K9+K10+K11)/3</f>
        <v>-98391.666666666672</v>
      </c>
      <c r="D8" s="59">
        <f>-(K9+K10+K11)/3</f>
        <v>-98391.666666666672</v>
      </c>
      <c r="E8" s="59">
        <f>-(K9+K10+K11)/3</f>
        <v>-98391.666666666672</v>
      </c>
      <c r="F8" s="59">
        <f>-(K9+K10+K11)/3</f>
        <v>-98391.666666666672</v>
      </c>
      <c r="G8" s="59">
        <f>-(K9+K10+K11)/3</f>
        <v>-98391.666666666672</v>
      </c>
      <c r="J8" t="s">
        <v>99</v>
      </c>
      <c r="K8">
        <v>0.2</v>
      </c>
      <c r="L8" t="s">
        <v>93</v>
      </c>
      <c r="N8" t="s">
        <v>92</v>
      </c>
      <c r="O8">
        <v>0.1</v>
      </c>
      <c r="P8" t="s">
        <v>93</v>
      </c>
    </row>
    <row r="9" spans="1:16" x14ac:dyDescent="0.3">
      <c r="A9" s="32"/>
      <c r="B9" s="32" t="s">
        <v>131</v>
      </c>
      <c r="C9" s="59">
        <f>-K3*O10*O11</f>
        <v>-48728.719999999994</v>
      </c>
      <c r="D9" s="59">
        <f>-K3*O10*O11</f>
        <v>-48728.719999999994</v>
      </c>
      <c r="E9" s="59">
        <f>-K3*O10*O11</f>
        <v>-48728.719999999994</v>
      </c>
      <c r="F9" s="59">
        <f>-K3*O10*O11</f>
        <v>-48728.719999999994</v>
      </c>
      <c r="G9" s="59">
        <f>-K3*O10*O11</f>
        <v>-48728.719999999994</v>
      </c>
      <c r="J9" t="s">
        <v>134</v>
      </c>
      <c r="K9">
        <v>127224</v>
      </c>
      <c r="L9" t="s">
        <v>137</v>
      </c>
      <c r="N9" t="s">
        <v>97</v>
      </c>
      <c r="O9">
        <v>0.01</v>
      </c>
      <c r="P9" t="s">
        <v>98</v>
      </c>
    </row>
    <row r="10" spans="1:16" x14ac:dyDescent="0.3">
      <c r="A10" s="32"/>
      <c r="B10" s="32"/>
      <c r="C10" s="59"/>
      <c r="D10" s="59"/>
      <c r="E10" s="59"/>
      <c r="F10" s="59"/>
      <c r="G10" s="59"/>
      <c r="J10" t="s">
        <v>135</v>
      </c>
      <c r="K10">
        <v>90883</v>
      </c>
      <c r="L10" t="s">
        <v>137</v>
      </c>
      <c r="N10" t="s">
        <v>120</v>
      </c>
      <c r="O10">
        <v>100</v>
      </c>
      <c r="P10" t="s">
        <v>121</v>
      </c>
    </row>
    <row r="11" spans="1:16" x14ac:dyDescent="0.3">
      <c r="A11" s="36" t="s">
        <v>35</v>
      </c>
      <c r="B11" s="33" t="s">
        <v>87</v>
      </c>
      <c r="C11" s="60">
        <v>0</v>
      </c>
      <c r="D11" s="60">
        <f>O7*5*8*365</f>
        <v>511000</v>
      </c>
      <c r="E11" s="60">
        <f>O7*5*8*365</f>
        <v>511000</v>
      </c>
      <c r="F11" s="60">
        <f>O7*5*8*365</f>
        <v>511000</v>
      </c>
      <c r="G11" s="60">
        <f>O7*5*8*365</f>
        <v>511000</v>
      </c>
      <c r="J11" t="s">
        <v>136</v>
      </c>
      <c r="K11">
        <v>77068</v>
      </c>
      <c r="L11" t="s">
        <v>137</v>
      </c>
      <c r="N11" t="s">
        <v>119</v>
      </c>
      <c r="O11">
        <v>0.14199999999999999</v>
      </c>
      <c r="P11" t="s">
        <v>122</v>
      </c>
    </row>
    <row r="12" spans="1:16" x14ac:dyDescent="0.3">
      <c r="A12" s="33"/>
      <c r="B12" s="33" t="s">
        <v>90</v>
      </c>
      <c r="C12" s="60">
        <v>0</v>
      </c>
      <c r="D12" s="60">
        <f>O7*365*24*(1-0.99)</f>
        <v>3066.0000000000027</v>
      </c>
      <c r="E12" s="60">
        <f>O7*365*24*(1-0.99)</f>
        <v>3066.0000000000027</v>
      </c>
      <c r="F12" s="60">
        <f>O7*365*24*(1-0.99)</f>
        <v>3066.0000000000027</v>
      </c>
      <c r="G12" s="60">
        <f>O7*365*24*(1-0.99)</f>
        <v>3066.0000000000027</v>
      </c>
    </row>
    <row r="13" spans="1:16" x14ac:dyDescent="0.3">
      <c r="A13" s="33"/>
      <c r="B13" s="33" t="s">
        <v>91</v>
      </c>
      <c r="C13" s="60">
        <v>0</v>
      </c>
      <c r="D13" s="60">
        <f>K6*O8</f>
        <v>1000</v>
      </c>
      <c r="E13" s="60">
        <f>K6*O8</f>
        <v>1000</v>
      </c>
      <c r="F13" s="60">
        <f>K6*O8</f>
        <v>1000</v>
      </c>
      <c r="G13" s="60">
        <f>K6*O8</f>
        <v>1000</v>
      </c>
    </row>
    <row r="14" spans="1:16" x14ac:dyDescent="0.3">
      <c r="A14" s="33"/>
      <c r="B14" s="33" t="s">
        <v>63</v>
      </c>
      <c r="C14" s="60">
        <v>0</v>
      </c>
      <c r="D14" s="60">
        <f>K7*O9</f>
        <v>2767.53</v>
      </c>
      <c r="E14" s="60">
        <f>K7*O9</f>
        <v>2767.53</v>
      </c>
      <c r="F14" s="60">
        <f>K7*O9</f>
        <v>2767.53</v>
      </c>
      <c r="G14" s="60">
        <f>K7*O9</f>
        <v>2767.53</v>
      </c>
    </row>
    <row r="15" spans="1:16" x14ac:dyDescent="0.3">
      <c r="A15" s="33"/>
      <c r="B15" s="33" t="s">
        <v>56</v>
      </c>
      <c r="C15" s="60">
        <v>0</v>
      </c>
      <c r="D15" s="60">
        <f>(1-K8)*O7*24*365</f>
        <v>245280</v>
      </c>
      <c r="E15" s="60">
        <f>(1-K8)*O7*24*365</f>
        <v>245280</v>
      </c>
      <c r="F15" s="60">
        <f>(1-K8)*O7*24*365</f>
        <v>245280</v>
      </c>
      <c r="G15" s="60">
        <f>(1-K8)*O7*24*365</f>
        <v>245280</v>
      </c>
      <c r="H15" s="38" t="s">
        <v>36</v>
      </c>
    </row>
    <row r="16" spans="1:16" x14ac:dyDescent="0.3">
      <c r="A16" s="38" t="s">
        <v>37</v>
      </c>
      <c r="C16" s="61">
        <f>SUM(C3:C15)</f>
        <v>-349968.38666666666</v>
      </c>
      <c r="D16" s="61">
        <f>SUM(D3:D15)</f>
        <v>551393.14333333331</v>
      </c>
      <c r="E16" s="61">
        <f>SUM(E3:E15)</f>
        <v>551393.14333333331</v>
      </c>
      <c r="F16" s="61">
        <f>SUM(F3:F15)</f>
        <v>551393.14333333331</v>
      </c>
      <c r="G16" s="61">
        <f>SUM(G3:G15)</f>
        <v>551393.14333333331</v>
      </c>
      <c r="H16" s="61">
        <f>SUM(C16:G16)</f>
        <v>1855604.1866666665</v>
      </c>
    </row>
  </sheetData>
  <mergeCells count="1">
    <mergeCell ref="C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C09D30-E7B9-46FB-AECB-A5CB6EB8B3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F674FA-7810-46AD-AE59-045B24A980DB}">
  <ds:schemaRefs>
    <ds:schemaRef ds:uri="http://schemas.microsoft.com/sharepoint/v3/contenttype/forms"/>
  </ds:schemaRefs>
</ds:datastoreItem>
</file>

<file path=customXml/itemProps3.xml><?xml version="1.0" encoding="utf-8"?>
<ds:datastoreItem xmlns:ds="http://schemas.openxmlformats.org/officeDocument/2006/customXml" ds:itemID="{A74ADC37-897E-402F-A709-869687DA4F6A}">
  <ds:schemaRefs>
    <ds:schemaRef ds:uri="http://schemas.microsoft.com/office/2006/metadata/properties"/>
    <ds:schemaRef ds:uri="http://schemas.microsoft.com/office/infopath/2007/PartnerControls"/>
    <ds:schemaRef ds:uri="006c7cb9-3c36-40e5-a5d9-86e0029a058a"/>
    <ds:schemaRef ds:uri="a5db53bf-fe91-4cb9-a657-3e0c4c7ee7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 Parameters</vt:lpstr>
      <vt:lpstr>Costs and Benefits Estimation</vt:lpstr>
      <vt:lpstr>Cost and Benefits Cash 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Leung, Vincent</dc:creator>
  <cp:keywords/>
  <dc:description/>
  <cp:lastModifiedBy>Jacob Brodersen</cp:lastModifiedBy>
  <cp:revision/>
  <dcterms:created xsi:type="dcterms:W3CDTF">2026-01-07T22:13:22Z</dcterms:created>
  <dcterms:modified xsi:type="dcterms:W3CDTF">2026-01-21T19:38:21Z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