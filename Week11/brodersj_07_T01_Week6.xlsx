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Jacob\Documents\"/>
    </mc:Choice>
  </mc:AlternateContent>
  <xr:revisionPtr revIDLastSave="0" documentId="8_{23DF9328-55BB-4591-BD40-BF5DE5D4F376}" xr6:coauthVersionLast="47" xr6:coauthVersionMax="47" xr10:uidLastSave="{00000000-0000-0000-0000-000000000000}"/>
  <bookViews>
    <workbookView xWindow="-120" yWindow="-120" windowWidth="38640" windowHeight="21240" xr2:uid="{00000000-000D-0000-FFFF-FFFF00000000}"/>
  </bookViews>
  <sheets>
    <sheet name="PW AW Comparison" sheetId="1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5" i="14" l="1"/>
  <c r="M16" i="14" s="1"/>
  <c r="M12" i="14"/>
  <c r="M14" i="14"/>
  <c r="M13" i="14"/>
  <c r="M11" i="14"/>
  <c r="M10" i="14"/>
  <c r="M9" i="14"/>
  <c r="M8" i="14"/>
  <c r="M7" i="14"/>
  <c r="M6" i="14"/>
  <c r="M5" i="14"/>
  <c r="E14" i="14"/>
  <c r="E13" i="14"/>
  <c r="E12" i="14"/>
  <c r="E7" i="14"/>
  <c r="E8" i="14"/>
  <c r="E9" i="14"/>
  <c r="E10" i="14"/>
  <c r="E11" i="14"/>
  <c r="E6" i="14"/>
  <c r="E15" i="14" s="1"/>
  <c r="E16" i="14" s="1"/>
  <c r="E5" i="14"/>
</calcChain>
</file>

<file path=xl/sharedStrings.xml><?xml version="1.0" encoding="utf-8"?>
<sst xmlns="http://schemas.openxmlformats.org/spreadsheetml/2006/main" count="36" uniqueCount="21">
  <si>
    <t>Student:</t>
  </si>
  <si>
    <t>Subsystem:</t>
  </si>
  <si>
    <t>Design:</t>
  </si>
  <si>
    <t>*If in a group of three</t>
  </si>
  <si>
    <t>Nominal Annual Discount Rate</t>
  </si>
  <si>
    <t>Design A</t>
  </si>
  <si>
    <t>Design B</t>
  </si>
  <si>
    <t>Design C</t>
  </si>
  <si>
    <t>Year</t>
  </si>
  <si>
    <t>CapEx</t>
  </si>
  <si>
    <t>OpEx</t>
  </si>
  <si>
    <t>Monetized benefits</t>
  </si>
  <si>
    <t>Net cash flow</t>
  </si>
  <si>
    <t>PW</t>
  </si>
  <si>
    <t>AW</t>
  </si>
  <si>
    <t>You are expected to compare the two/three subsystem designs you and your partner(s) developed.</t>
  </si>
  <si>
    <t>Student: Tridib Banik</t>
  </si>
  <si>
    <t>Subsystem: Facility Security Software for CSA Facility</t>
  </si>
  <si>
    <t>Design: Controlling Camera and Easy to Use Security Software</t>
  </si>
  <si>
    <t>Design: Redundant Security Systems and Cybersecurity</t>
  </si>
  <si>
    <t>Student: Jacob Brodersen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</si>
</sst>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8" formatCode="&quot;$&quot;#,##0.00;[Red]\-&quot;$&quot;#,##0.00"/>
    <numFmt numFmtId="44" formatCode="_-&quot;$&quot;* #,##0.00_-;\-&quot;$&quot;* #,##0.00_-;_-&quot;$&quot;* &quot;-&quot;??_-;_-@_-"/>
  </numFmts>
  <fonts count="8" x14ac:knownFonts="1">
    <font>
      <sz val="11"/>
      <color theme="1"/>
      <name val="Aptos Narrow"/>
      <family val="2"/>
      <scheme val="minor"/>
    </font>
    <font>
      <sz val="11"/>
      <color theme="1"/>
      <name val="Arial Narrow"/>
      <family val="2"/>
    </font>
    <font>
      <b/>
      <sz val="11"/>
      <color theme="1"/>
      <name val="Aptos Narrow"/>
      <family val="2"/>
      <scheme val="minor"/>
    </font>
    <font>
      <sz val="11"/>
      <color theme="1"/>
      <name val="Aptos Narrow"/>
      <family val="2"/>
      <scheme val="minor"/>
    </font>
    <font>
      <b/>
      <sz val="12"/>
      <color rgb="FF000000"/>
      <name val="Arial Narrow"/>
      <family val="2"/>
    </font>
    <font>
      <sz val="12"/>
      <color theme="1"/>
      <name val="Arial Narrow"/>
      <family val="2"/>
    </font>
    <font>
      <sz val="12"/>
      <color rgb="FFEE0000"/>
      <name val="Arial Narrow"/>
      <family val="2"/>
    </font>
    <font>
      <b/>
      <sz val="11"/>
      <color theme="1"/>
      <name val="Arial Narrow"/>
      <family val="2"/>
    </font>
  </fonts>
  <fills count="4">
    <fill>
      <patternFill patternType="none"/>
    </fill>
    <fill>
      <patternFill patternType="gray125"/>
    </fill>
    <fill>
      <patternFill patternType="solid">
        <fgColor rgb="FFD9D9D9"/>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3" fillId="0" borderId="0" applyFont="0" applyFill="0" applyBorder="0" applyAlignment="0" applyProtection="0"/>
  </cellStyleXfs>
  <cellXfs count="20">
    <xf numFmtId="0" fontId="0" fillId="0" borderId="0" xfId="0"/>
    <xf numFmtId="0" fontId="1" fillId="0" borderId="0" xfId="0" applyFont="1"/>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right" vertical="center" wrapText="1"/>
    </xf>
    <xf numFmtId="0" fontId="4" fillId="2" borderId="1" xfId="0" applyFont="1" applyFill="1" applyBorder="1" applyAlignment="1">
      <alignment horizontal="justify" vertical="center" wrapText="1"/>
    </xf>
    <xf numFmtId="6" fontId="6" fillId="0" borderId="1" xfId="0" applyNumberFormat="1" applyFont="1" applyBorder="1" applyAlignment="1">
      <alignment horizontal="left" vertical="center" wrapText="1"/>
    </xf>
    <xf numFmtId="6" fontId="5" fillId="0" borderId="1" xfId="0" applyNumberFormat="1" applyFont="1" applyBorder="1" applyAlignment="1">
      <alignment horizontal="left" vertical="center" wrapText="1"/>
    </xf>
    <xf numFmtId="8" fontId="0" fillId="0" borderId="1" xfId="1" applyNumberFormat="1" applyFont="1" applyBorder="1" applyAlignment="1">
      <alignment horizontal="right" vertical="center" wrapText="1"/>
    </xf>
    <xf numFmtId="8" fontId="3" fillId="0" borderId="1" xfId="1" applyNumberFormat="1" applyFont="1" applyBorder="1" applyAlignment="1">
      <alignment horizontal="right" vertical="center" wrapText="1"/>
    </xf>
    <xf numFmtId="0" fontId="0" fillId="3" borderId="1" xfId="0" applyFill="1" applyBorder="1"/>
    <xf numFmtId="8" fontId="0" fillId="3" borderId="1" xfId="0" applyNumberFormat="1" applyFill="1" applyBorder="1"/>
    <xf numFmtId="8" fontId="3" fillId="3" borderId="1" xfId="1" applyNumberFormat="1" applyFont="1" applyFill="1" applyBorder="1" applyAlignment="1">
      <alignment horizontal="right" vertical="center" wrapText="1"/>
    </xf>
    <xf numFmtId="0" fontId="2" fillId="0" borderId="1" xfId="0" applyFont="1" applyBorder="1" applyAlignment="1">
      <alignment wrapText="1"/>
    </xf>
    <xf numFmtId="9" fontId="2" fillId="0" borderId="1" xfId="0" applyNumberFormat="1" applyFont="1" applyBorder="1"/>
    <xf numFmtId="9" fontId="0" fillId="0" borderId="0" xfId="0" applyNumberFormat="1"/>
    <xf numFmtId="8" fontId="0" fillId="0" borderId="0" xfId="0" applyNumberFormat="1"/>
    <xf numFmtId="0" fontId="2" fillId="0" borderId="0" xfId="0" applyFont="1" applyAlignment="1">
      <alignment wrapText="1"/>
    </xf>
    <xf numFmtId="0" fontId="7" fillId="0" borderId="0" xfId="0" applyFont="1"/>
    <xf numFmtId="0" fontId="0" fillId="0" borderId="0" xfId="0" applyAlignment="1">
      <alignment horizontal="left" wrapText="1"/>
    </xf>
  </cellXfs>
  <cellStyles count="2">
    <cellStyle name="Currency" xfId="1" builtinId="4"/>
    <cellStyle name="Normal" xfId="0" builtinId="0"/>
  </cellStyles>
  <dxfs count="0"/>
  <tableStyles count="0" defaultTableStyle="TableStyleMedium2" defaultPivotStyle="PivotStyleMedium9"/>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cash flow Design 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'PW AW Comparison'!$E$4</c:f>
              <c:strCache>
                <c:ptCount val="1"/>
                <c:pt idx="0">
                  <c:v>Net cash flow</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'PW AW Comparison'!$E$5:$E$14</c:f>
              <c:numCache>
                <c:formatCode>"$"#,##0.00_);[Red]\("$"#,##0.00\)</c:formatCode>
                <c:ptCount val="10"/>
                <c:pt idx="0">
                  <c:v>-66811</c:v>
                </c:pt>
                <c:pt idx="1">
                  <c:v>142189</c:v>
                </c:pt>
                <c:pt idx="2">
                  <c:v>142189</c:v>
                </c:pt>
                <c:pt idx="3">
                  <c:v>142189</c:v>
                </c:pt>
                <c:pt idx="4">
                  <c:v>142189</c:v>
                </c:pt>
                <c:pt idx="5">
                  <c:v>142189</c:v>
                </c:pt>
                <c:pt idx="6">
                  <c:v>142189</c:v>
                </c:pt>
                <c:pt idx="7">
                  <c:v>142189</c:v>
                </c:pt>
                <c:pt idx="8">
                  <c:v>142189</c:v>
                </c:pt>
                <c:pt idx="9">
                  <c:v>142189</c:v>
                </c:pt>
              </c:numCache>
            </c:numRef>
          </c:val>
          <c:extLst>
            <c:ext xmlns:c16="http://schemas.microsoft.com/office/drawing/2014/chart" uri="{C3380CC4-5D6E-409C-BE32-E72D297353CC}">
              <c16:uniqueId val="{00000000-E94D-417F-AE33-592CE72907CB}"/>
            </c:ext>
          </c:extLst>
        </c:ser>
        <c:dLbls>
          <c:showLegendKey val="0"/>
          <c:showVal val="0"/>
          <c:showCatName val="0"/>
          <c:showSerName val="0"/>
          <c:showPercent val="0"/>
          <c:showBubbleSize val="0"/>
        </c:dLbls>
        <c:gapWidth val="219"/>
        <c:overlap val="-27"/>
        <c:axId val="2031746239"/>
        <c:axId val="2031748159"/>
      </c:barChart>
      <c:catAx>
        <c:axId val="203174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748159"/>
        <c:crosses val="autoZero"/>
        <c:auto val="1"/>
        <c:lblAlgn val="ctr"/>
        <c:lblOffset val="100"/>
        <c:tickLblSkip val="1"/>
        <c:noMultiLvlLbl val="0"/>
      </c:catAx>
      <c:valAx>
        <c:axId val="2031748159"/>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crossAx val="203174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cash flow Design 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'PW AW Comparison'!$M$4</c:f>
              <c:strCache>
                <c:ptCount val="1"/>
                <c:pt idx="0">
                  <c:v>Net cash flow</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'PW AW Comparison'!$M$5:$M$14</c:f>
              <c:numCache>
                <c:formatCode>"$"#,##0.00_);[Red]\("$"#,##0.00\)</c:formatCode>
                <c:ptCount val="10"/>
                <c:pt idx="0">
                  <c:v>-349968.39</c:v>
                </c:pt>
                <c:pt idx="1">
                  <c:v>551393.14</c:v>
                </c:pt>
                <c:pt idx="2">
                  <c:v>551393.14</c:v>
                </c:pt>
                <c:pt idx="3">
                  <c:v>551393.14</c:v>
                </c:pt>
                <c:pt idx="4">
                  <c:v>551393.14</c:v>
                </c:pt>
                <c:pt idx="5">
                  <c:v>551393.14</c:v>
                </c:pt>
                <c:pt idx="6">
                  <c:v>551393.14</c:v>
                </c:pt>
                <c:pt idx="7">
                  <c:v>551393.14</c:v>
                </c:pt>
                <c:pt idx="8">
                  <c:v>551393.14</c:v>
                </c:pt>
                <c:pt idx="9">
                  <c:v>551393.14</c:v>
                </c:pt>
              </c:numCache>
            </c:numRef>
          </c:val>
          <c:extLst>
            <c:ext xmlns:c16="http://schemas.microsoft.com/office/drawing/2014/chart" uri="{C3380CC4-5D6E-409C-BE32-E72D297353CC}">
              <c16:uniqueId val="{00000000-475F-4585-AE70-350A42035759}"/>
            </c:ext>
          </c:extLst>
        </c:ser>
        <c:dLbls>
          <c:showLegendKey val="0"/>
          <c:showVal val="0"/>
          <c:showCatName val="0"/>
          <c:showSerName val="0"/>
          <c:showPercent val="0"/>
          <c:showBubbleSize val="0"/>
        </c:dLbls>
        <c:gapWidth val="219"/>
        <c:overlap val="-27"/>
        <c:axId val="2031746239"/>
        <c:axId val="2031748159"/>
      </c:barChart>
      <c:catAx>
        <c:axId val="203174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748159"/>
        <c:crosses val="autoZero"/>
        <c:auto val="1"/>
        <c:lblAlgn val="ctr"/>
        <c:lblOffset val="100"/>
        <c:tickLblSkip val="1"/>
        <c:noMultiLvlLbl val="0"/>
      </c:catAx>
      <c:valAx>
        <c:axId val="2031748159"/>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crossAx val="203174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cash flow Design 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'PW AW Comparison'!$T$4</c:f>
              <c:strCache>
                <c:ptCount val="1"/>
                <c:pt idx="0">
                  <c:v>Net cash flow</c:v>
                </c:pt>
              </c:strCache>
            </c:strRef>
          </c:tx>
          <c:spPr>
            <a:solidFill>
              <a:schemeClr val="accent1"/>
            </a:solidFill>
            <a:ln>
              <a:noFill/>
            </a:ln>
            <a:effectLst/>
          </c:spPr>
          <c:invertIfNegative val="0"/>
          <c:val>
            <c:numRef>
              <c:f>'PW AW Comparison'!$T$5:$T$19</c:f>
              <c:numCache>
                <c:formatCode>"$"#,##0_);[Red]\("$"#,##0\)</c:formatCode>
                <c:ptCount val="15"/>
              </c:numCache>
            </c:numRef>
          </c:val>
          <c:extLst>
            <c:ext xmlns:c16="http://schemas.microsoft.com/office/drawing/2014/chart" uri="{C3380CC4-5D6E-409C-BE32-E72D297353CC}">
              <c16:uniqueId val="{00000001-5A88-4813-99E3-22357FB52327}"/>
            </c:ext>
          </c:extLst>
        </c:ser>
        <c:dLbls>
          <c:showLegendKey val="0"/>
          <c:showVal val="0"/>
          <c:showCatName val="0"/>
          <c:showSerName val="0"/>
          <c:showPercent val="0"/>
          <c:showBubbleSize val="0"/>
        </c:dLbls>
        <c:gapWidth val="219"/>
        <c:overlap val="-27"/>
        <c:axId val="2031746239"/>
        <c:axId val="2031748159"/>
      </c:barChart>
      <c:catAx>
        <c:axId val="203174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748159"/>
        <c:crosses val="autoZero"/>
        <c:auto val="1"/>
        <c:lblAlgn val="ctr"/>
        <c:lblOffset val="100"/>
        <c:tickLblSkip val="1"/>
        <c:noMultiLvlLbl val="0"/>
      </c:catAx>
      <c:valAx>
        <c:axId val="2031748159"/>
        <c:scaling>
          <c:orientation val="minMax"/>
        </c:scaling>
        <c:delete val="1"/>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crossAx val="203174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20</xdr:col>
      <xdr:colOff>438150</xdr:colOff>
      <xdr:row>3</xdr:row>
      <xdr:rowOff>144462</xdr:rowOff>
    </xdr:from>
    <xdr:to>
      <xdr:col>29</xdr:col>
      <xdr:colOff>501650</xdr:colOff>
      <xdr:row>36</xdr:row>
      <xdr:rowOff>111125</xdr:rowOff>
    </xdr:to>
    <xdr:sp macro="" textlink="">
      <xdr:nvSpPr>
        <xdr:cNvPr id="5" name="TextBox 4">
          <a:extLst>
            <a:ext uri="{FF2B5EF4-FFF2-40B4-BE49-F238E27FC236}">
              <a16:creationId xmlns:a16="http://schemas.microsoft.com/office/drawing/2014/main" id="{BB4ABB7B-A212-DE5D-95EA-702EE408320D}"/>
            </a:ext>
          </a:extLst>
        </xdr:cNvPr>
        <xdr:cNvSpPr txBox="1"/>
      </xdr:nvSpPr>
      <xdr:spPr>
        <a:xfrm>
          <a:off x="28584525" y="1065212"/>
          <a:ext cx="5492750" cy="69992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Exercise 3 Discussion</a:t>
          </a:r>
        </a:p>
        <a:p>
          <a:endParaRPr lang="en-CA" sz="1100"/>
        </a:p>
        <a:p>
          <a:pPr marL="0" marR="0" lvl="0" indent="0" defTabSz="914400" eaLnBrk="1" fontAlgn="auto" latinLnBrk="0" hangingPunct="1">
            <a:lnSpc>
              <a:spcPct val="100000"/>
            </a:lnSpc>
            <a:spcBef>
              <a:spcPts val="0"/>
            </a:spcBef>
            <a:spcAft>
              <a:spcPts val="0"/>
            </a:spcAft>
            <a:buClrTx/>
            <a:buSzTx/>
            <a:buFontTx/>
            <a:buNone/>
            <a:tabLst/>
            <a:defRPr/>
          </a:pPr>
          <a:r>
            <a:rPr lang="en-CA" sz="1100">
              <a:solidFill>
                <a:schemeClr val="dk1"/>
              </a:solidFill>
              <a:effectLst/>
              <a:latin typeface="+mn-lt"/>
              <a:ea typeface="+mn-ea"/>
              <a:cs typeface="+mn-cs"/>
            </a:rPr>
            <a:t>Note:</a:t>
          </a:r>
          <a:r>
            <a:rPr lang="en-CA" sz="1100" baseline="0">
              <a:solidFill>
                <a:schemeClr val="dk1"/>
              </a:solidFill>
              <a:effectLst/>
              <a:latin typeface="+mn-lt"/>
              <a:ea typeface="+mn-ea"/>
              <a:cs typeface="+mn-cs"/>
            </a:rPr>
            <a:t> Both of the subsystems assume a life span of 10 years, which is standard for security systems [1].</a:t>
          </a:r>
          <a:endParaRPr lang="en-CA" sz="1100"/>
        </a:p>
        <a:p>
          <a:endParaRPr lang="en-CA" sz="1100"/>
        </a:p>
        <a:p>
          <a:r>
            <a:rPr lang="en-CA" sz="1100" b="1"/>
            <a:t>Economic</a:t>
          </a:r>
          <a:r>
            <a:rPr lang="en-CA" sz="1100" b="1" baseline="0"/>
            <a:t> Signals: </a:t>
          </a:r>
          <a:r>
            <a:rPr lang="en-CA" sz="1100" b="0" baseline="0"/>
            <a:t>Design A has a much lower PW than Design B, therefore, the economic performance of Design B is superior. As can be seen through the cash flows, Design B has much higher upfront costs, but this results in much more monetized benefit over time. The AW results reflect this through Design B having a much larger AW than Design A. Therefore, Design B will provide greater value in the long term.</a:t>
          </a:r>
        </a:p>
        <a:p>
          <a:endParaRPr lang="en-CA" sz="1100" b="0" baseline="0"/>
        </a:p>
        <a:p>
          <a:r>
            <a:rPr lang="en-CA" sz="1100" b="1" baseline="0"/>
            <a:t>Comparison and Divergence: </a:t>
          </a:r>
          <a:r>
            <a:rPr lang="en-CA" sz="1100" b="0" baseline="0"/>
            <a:t>The PW and AW for Design B are larger than those of Design A. Therefore, both of the methods lead to the same conclusion that Design B is more cost efficient because they have higher PW and AW.</a:t>
          </a:r>
        </a:p>
        <a:p>
          <a:endParaRPr lang="en-CA" sz="1100" b="0" baseline="0"/>
        </a:p>
        <a:p>
          <a:r>
            <a:rPr lang="en-CA" sz="1100" b="1" baseline="0"/>
            <a:t>Key Drivers: </a:t>
          </a:r>
          <a:r>
            <a:rPr lang="en-CA" sz="1100" b="0" baseline="0"/>
            <a:t>The key drivers for both Design A and Design B are the Operational Expenses. One key difference between Design A and B are that Design B includes additional cybersecutiy and redundant security system components whereas Design A focuses on easy to use sotware and control over the system. This results in much higher operational expenses for Design B, but also results in much larger monetized benefits. Overall, Design A and B have similar ratios of of capital expenses, operational expenses, and monetized benefits, but Design B does it on a much larger scale.</a:t>
          </a:r>
        </a:p>
        <a:p>
          <a:endParaRPr lang="en-CA" sz="1100" b="0" baseline="0"/>
        </a:p>
        <a:p>
          <a:r>
            <a:rPr lang="en-CA" sz="1100" b="1" baseline="0"/>
            <a:t>Interpretation, not Selection: </a:t>
          </a:r>
          <a:r>
            <a:rPr lang="en-CA" sz="1100" b="0" baseline="0"/>
            <a:t>Both Design A and Design B trade off high capital and operational costs to take advantage of increased monetized benefits. As discussed earlier, the ratio between costs and benefits is similar for both designs, but Design B does this on a larger scale. Before making a final design recommendation, there should be more work done in determining more accurate lifespans for each of the two designs as this will greatly affect the long-term worth of each design (e.g., cybersecurity system of Design B may need to be updated more frequently due to its sensitive nature).</a:t>
          </a:r>
          <a:endParaRPr lang="en-CA" sz="1100" b="1" baseline="0"/>
        </a:p>
        <a:p>
          <a:endParaRPr lang="en-CA" sz="1100" b="1" baseline="0"/>
        </a:p>
        <a:p>
          <a:r>
            <a:rPr lang="en-CA" sz="1100" b="1" baseline="0"/>
            <a:t>Works Cited</a:t>
          </a:r>
        </a:p>
        <a:p>
          <a:endParaRPr lang="en-CA" sz="1100" b="1" baseline="0"/>
        </a:p>
        <a:p>
          <a:r>
            <a:rPr lang="en-CA" sz="1100">
              <a:solidFill>
                <a:schemeClr val="dk1"/>
              </a:solidFill>
              <a:effectLst/>
              <a:latin typeface="+mn-lt"/>
              <a:ea typeface="+mn-ea"/>
              <a:cs typeface="+mn-cs"/>
            </a:rPr>
            <a:t>[1]</a:t>
          </a:r>
          <a:r>
            <a:rPr lang="en-CA" sz="1100" baseline="0">
              <a:solidFill>
                <a:schemeClr val="dk1"/>
              </a:solidFill>
              <a:effectLst/>
              <a:latin typeface="+mn-lt"/>
              <a:ea typeface="+mn-ea"/>
              <a:cs typeface="+mn-cs"/>
            </a:rPr>
            <a:t> </a:t>
          </a:r>
          <a:r>
            <a:rPr lang="en-CA" sz="1100">
              <a:solidFill>
                <a:schemeClr val="dk1"/>
              </a:solidFill>
              <a:effectLst/>
              <a:latin typeface="+mn-lt"/>
              <a:ea typeface="+mn-ea"/>
              <a:cs typeface="+mn-cs"/>
            </a:rPr>
            <a:t>Knight Security Systems, "When to Replace Your Home Security System," Knight Security Systems, [Online]. </a:t>
          </a:r>
          <a:r>
            <a:rPr lang="fr-FR" sz="1100">
              <a:solidFill>
                <a:schemeClr val="dk1"/>
              </a:solidFill>
              <a:effectLst/>
              <a:latin typeface="+mn-lt"/>
              <a:ea typeface="+mn-ea"/>
              <a:cs typeface="+mn-cs"/>
            </a:rPr>
            <a:t>Available: https://www.knightprotect.com/when-to-replace-your-home-security-system/. </a:t>
          </a:r>
          <a:r>
            <a:rPr lang="en-CA" sz="1100">
              <a:solidFill>
                <a:schemeClr val="dk1"/>
              </a:solidFill>
              <a:effectLst/>
              <a:latin typeface="+mn-lt"/>
              <a:ea typeface="+mn-ea"/>
              <a:cs typeface="+mn-cs"/>
            </a:rPr>
            <a:t>[Accessed 11 February 2026].</a:t>
          </a:r>
        </a:p>
      </xdr:txBody>
    </xdr:sp>
    <xdr:clientData/>
  </xdr:twoCellAnchor>
  <xdr:twoCellAnchor>
    <xdr:from>
      <xdr:col>0</xdr:col>
      <xdr:colOff>0</xdr:colOff>
      <xdr:row>22</xdr:row>
      <xdr:rowOff>93660</xdr:rowOff>
    </xdr:from>
    <xdr:to>
      <xdr:col>9</xdr:col>
      <xdr:colOff>575388</xdr:colOff>
      <xdr:row>45</xdr:row>
      <xdr:rowOff>62203</xdr:rowOff>
    </xdr:to>
    <xdr:graphicFrame macro="">
      <xdr:nvGraphicFramePr>
        <xdr:cNvPr id="6" name="Chart 5">
          <a:extLst>
            <a:ext uri="{FF2B5EF4-FFF2-40B4-BE49-F238E27FC236}">
              <a16:creationId xmlns:a16="http://schemas.microsoft.com/office/drawing/2014/main" id="{8F7224F3-5C12-810C-38AE-3E4662B4A3D1}"/>
            </a:ext>
            <a:ext uri="{147F2762-F138-4A5C-976F-8EAC2B608ADB}">
              <a16:predDERef xmlns:a16="http://schemas.microsoft.com/office/drawing/2014/main" pred="{BB4ABB7B-A212-DE5D-95EA-702EE4083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891050</xdr:colOff>
      <xdr:row>22</xdr:row>
      <xdr:rowOff>89258</xdr:rowOff>
    </xdr:from>
    <xdr:to>
      <xdr:col>16</xdr:col>
      <xdr:colOff>277091</xdr:colOff>
      <xdr:row>45</xdr:row>
      <xdr:rowOff>138546</xdr:rowOff>
    </xdr:to>
    <xdr:graphicFrame macro="">
      <xdr:nvGraphicFramePr>
        <xdr:cNvPr id="7" name="Chart 6">
          <a:extLst>
            <a:ext uri="{FF2B5EF4-FFF2-40B4-BE49-F238E27FC236}">
              <a16:creationId xmlns:a16="http://schemas.microsoft.com/office/drawing/2014/main" id="{1F081EE1-5CE8-4C07-BF4C-06E29C3CAF83}"/>
            </a:ext>
            <a:ext uri="{147F2762-F138-4A5C-976F-8EAC2B608ADB}">
              <a16:predDERef xmlns:a16="http://schemas.microsoft.com/office/drawing/2014/main" pred="{8F7224F3-5C12-810C-38AE-3E4662B4A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319639</xdr:colOff>
      <xdr:row>44</xdr:row>
      <xdr:rowOff>160370</xdr:rowOff>
    </xdr:from>
    <xdr:to>
      <xdr:col>29</xdr:col>
      <xdr:colOff>201451</xdr:colOff>
      <xdr:row>61</xdr:row>
      <xdr:rowOff>160370</xdr:rowOff>
    </xdr:to>
    <xdr:graphicFrame macro="">
      <xdr:nvGraphicFramePr>
        <xdr:cNvPr id="2" name="Chart 1">
          <a:extLst>
            <a:ext uri="{FF2B5EF4-FFF2-40B4-BE49-F238E27FC236}">
              <a16:creationId xmlns:a16="http://schemas.microsoft.com/office/drawing/2014/main" id="{9D54078D-CFD5-4B2B-B3C1-0EB51EA2BC2E}"/>
            </a:ext>
            <a:ext uri="{147F2762-F138-4A5C-976F-8EAC2B608ADB}">
              <a16:predDERef xmlns:a16="http://schemas.microsoft.com/office/drawing/2014/main" pred="{1F081EE1-5CE8-4C07-BF4C-06E29C3CA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16AE-3926-464E-81B9-CD6B4977DFCE}">
  <dimension ref="A1:W22"/>
  <sheetViews>
    <sheetView tabSelected="1" zoomScale="70" zoomScaleNormal="70" workbookViewId="0">
      <selection activeCell="G21" sqref="G21"/>
    </sheetView>
  </sheetViews>
  <sheetFormatPr defaultRowHeight="15" x14ac:dyDescent="0.25"/>
  <cols>
    <col min="1" max="1" width="28.140625" customWidth="1"/>
    <col min="2" max="2" width="41" customWidth="1"/>
    <col min="3" max="3" width="49.7109375" customWidth="1"/>
    <col min="4" max="4" width="19.5703125" customWidth="1"/>
    <col min="5" max="5" width="13.140625" bestFit="1" customWidth="1"/>
    <col min="7" max="7" width="8.42578125" customWidth="1"/>
    <col min="9" max="9" width="33.28515625" customWidth="1"/>
    <col min="10" max="11" width="43.28515625" customWidth="1"/>
    <col min="12" max="12" width="17.85546875" customWidth="1"/>
    <col min="13" max="13" width="17.5703125" customWidth="1"/>
    <col min="15" max="15" width="11.42578125" customWidth="1"/>
    <col min="16" max="16" width="18" customWidth="1"/>
    <col min="17" max="17" width="16" customWidth="1"/>
    <col min="18" max="18" width="10.42578125" customWidth="1"/>
    <col min="22" max="22" width="22" customWidth="1"/>
  </cols>
  <sheetData>
    <row r="1" spans="1:23" ht="16.5" x14ac:dyDescent="0.3">
      <c r="A1" s="1" t="s">
        <v>16</v>
      </c>
      <c r="B1" s="1" t="s">
        <v>17</v>
      </c>
      <c r="C1" s="1" t="s">
        <v>18</v>
      </c>
      <c r="I1" s="1" t="s">
        <v>20</v>
      </c>
      <c r="J1" s="1" t="s">
        <v>17</v>
      </c>
      <c r="K1" s="1" t="s">
        <v>19</v>
      </c>
      <c r="P1" s="1" t="s">
        <v>0</v>
      </c>
      <c r="Q1" s="1" t="s">
        <v>1</v>
      </c>
      <c r="R1" s="1" t="s">
        <v>2</v>
      </c>
    </row>
    <row r="2" spans="1:23" ht="42.6" customHeight="1" x14ac:dyDescent="0.3">
      <c r="A2" s="1"/>
      <c r="B2" s="1"/>
      <c r="C2" s="1"/>
      <c r="O2" s="17"/>
      <c r="P2" s="18" t="s">
        <v>3</v>
      </c>
      <c r="Q2" s="1"/>
      <c r="V2" s="13" t="s">
        <v>4</v>
      </c>
      <c r="W2" s="14">
        <v>7.0000000000000007E-2</v>
      </c>
    </row>
    <row r="3" spans="1:23" x14ac:dyDescent="0.25">
      <c r="A3" t="s">
        <v>5</v>
      </c>
      <c r="I3" t="s">
        <v>6</v>
      </c>
      <c r="P3" t="s">
        <v>7</v>
      </c>
    </row>
    <row r="4" spans="1:23" ht="45" x14ac:dyDescent="0.25">
      <c r="A4" s="2" t="s">
        <v>8</v>
      </c>
      <c r="B4" s="3" t="s">
        <v>9</v>
      </c>
      <c r="C4" s="3" t="s">
        <v>10</v>
      </c>
      <c r="D4" s="3" t="s">
        <v>11</v>
      </c>
      <c r="E4" s="3" t="s">
        <v>12</v>
      </c>
      <c r="I4" s="2" t="s">
        <v>8</v>
      </c>
      <c r="J4" s="3" t="s">
        <v>9</v>
      </c>
      <c r="K4" s="3" t="s">
        <v>10</v>
      </c>
      <c r="L4" s="3" t="s">
        <v>11</v>
      </c>
      <c r="M4" s="3" t="s">
        <v>12</v>
      </c>
      <c r="P4" s="5" t="s">
        <v>8</v>
      </c>
      <c r="Q4" s="3" t="s">
        <v>9</v>
      </c>
      <c r="R4" s="3" t="s">
        <v>10</v>
      </c>
      <c r="S4" s="3" t="s">
        <v>11</v>
      </c>
      <c r="T4" s="3" t="s">
        <v>12</v>
      </c>
    </row>
    <row r="5" spans="1:23" ht="15.75" x14ac:dyDescent="0.25">
      <c r="A5" s="4">
        <v>1</v>
      </c>
      <c r="B5" s="8">
        <v>-25000</v>
      </c>
      <c r="C5" s="8">
        <v>-41811</v>
      </c>
      <c r="D5" s="8">
        <v>0</v>
      </c>
      <c r="E5" s="9">
        <f>SUM(B5:D5)</f>
        <v>-66811</v>
      </c>
      <c r="G5" s="16"/>
      <c r="I5" s="4">
        <v>1</v>
      </c>
      <c r="J5" s="8">
        <v>-138248</v>
      </c>
      <c r="K5" s="8">
        <v>-211720.39</v>
      </c>
      <c r="L5" s="8">
        <v>0</v>
      </c>
      <c r="M5" s="9">
        <f>SUM(J5:L5)</f>
        <v>-349968.39</v>
      </c>
      <c r="P5" s="5">
        <v>1</v>
      </c>
      <c r="Q5" s="6"/>
      <c r="R5" s="6"/>
      <c r="S5" s="7"/>
      <c r="T5" s="6"/>
    </row>
    <row r="6" spans="1:23" ht="15.75" x14ac:dyDescent="0.25">
      <c r="A6" s="4">
        <v>2</v>
      </c>
      <c r="B6" s="8">
        <v>0</v>
      </c>
      <c r="C6" s="8">
        <v>-41811</v>
      </c>
      <c r="D6" s="8">
        <v>184000</v>
      </c>
      <c r="E6" s="9">
        <f>SUM(B6:D6)</f>
        <v>142189</v>
      </c>
      <c r="G6" s="16"/>
      <c r="I6" s="4">
        <v>2</v>
      </c>
      <c r="J6" s="8">
        <v>0</v>
      </c>
      <c r="K6" s="8">
        <v>-211720.39</v>
      </c>
      <c r="L6" s="8">
        <v>763113.53</v>
      </c>
      <c r="M6" s="9">
        <f>SUM(J6:L6)</f>
        <v>551393.14</v>
      </c>
      <c r="P6" s="5">
        <v>2</v>
      </c>
      <c r="Q6" s="7"/>
      <c r="R6" s="6"/>
      <c r="S6" s="7"/>
      <c r="T6" s="6"/>
    </row>
    <row r="7" spans="1:23" ht="15.75" x14ac:dyDescent="0.25">
      <c r="A7" s="4">
        <v>3</v>
      </c>
      <c r="B7" s="8">
        <v>0</v>
      </c>
      <c r="C7" s="8">
        <v>-41811</v>
      </c>
      <c r="D7" s="8">
        <v>184000</v>
      </c>
      <c r="E7" s="9">
        <f t="shared" ref="E7:E11" si="0">SUM(B7:D7)</f>
        <v>142189</v>
      </c>
      <c r="G7" s="16"/>
      <c r="I7" s="4">
        <v>3</v>
      </c>
      <c r="J7" s="8">
        <v>0</v>
      </c>
      <c r="K7" s="8">
        <v>-211720.39</v>
      </c>
      <c r="L7" s="8">
        <v>763113.53</v>
      </c>
      <c r="M7" s="9">
        <f t="shared" ref="M7:M14" si="1">SUM(J7:L7)</f>
        <v>551393.14</v>
      </c>
      <c r="P7" s="5">
        <v>3</v>
      </c>
      <c r="Q7" s="7"/>
      <c r="R7" s="6"/>
      <c r="S7" s="7"/>
      <c r="T7" s="6"/>
    </row>
    <row r="8" spans="1:23" ht="15.75" x14ac:dyDescent="0.25">
      <c r="A8" s="4">
        <v>4</v>
      </c>
      <c r="B8" s="8">
        <v>0</v>
      </c>
      <c r="C8" s="8">
        <v>-41811</v>
      </c>
      <c r="D8" s="8">
        <v>184000</v>
      </c>
      <c r="E8" s="9">
        <f t="shared" si="0"/>
        <v>142189</v>
      </c>
      <c r="G8" s="16"/>
      <c r="I8" s="4">
        <v>4</v>
      </c>
      <c r="J8" s="8">
        <v>0</v>
      </c>
      <c r="K8" s="8">
        <v>-211720.39</v>
      </c>
      <c r="L8" s="8">
        <v>763113.53</v>
      </c>
      <c r="M8" s="9">
        <f t="shared" si="1"/>
        <v>551393.14</v>
      </c>
      <c r="P8" s="5">
        <v>4</v>
      </c>
      <c r="Q8" s="7"/>
      <c r="R8" s="6"/>
      <c r="S8" s="7"/>
      <c r="T8" s="6"/>
    </row>
    <row r="9" spans="1:23" ht="15.75" x14ac:dyDescent="0.25">
      <c r="A9" s="4">
        <v>5</v>
      </c>
      <c r="B9" s="8">
        <v>0</v>
      </c>
      <c r="C9" s="8">
        <v>-41811</v>
      </c>
      <c r="D9" s="8">
        <v>184000</v>
      </c>
      <c r="E9" s="9">
        <f t="shared" si="0"/>
        <v>142189</v>
      </c>
      <c r="G9" s="16"/>
      <c r="I9" s="4">
        <v>5</v>
      </c>
      <c r="J9" s="8">
        <v>0</v>
      </c>
      <c r="K9" s="8">
        <v>-211720.39</v>
      </c>
      <c r="L9" s="8">
        <v>763113.53</v>
      </c>
      <c r="M9" s="9">
        <f t="shared" si="1"/>
        <v>551393.14</v>
      </c>
      <c r="P9" s="5">
        <v>5</v>
      </c>
      <c r="Q9" s="7"/>
      <c r="R9" s="6"/>
      <c r="S9" s="7"/>
      <c r="T9" s="6"/>
    </row>
    <row r="10" spans="1:23" ht="15.75" x14ac:dyDescent="0.25">
      <c r="A10" s="4">
        <v>6</v>
      </c>
      <c r="B10" s="8">
        <v>0</v>
      </c>
      <c r="C10" s="8">
        <v>-41811</v>
      </c>
      <c r="D10" s="8">
        <v>184000</v>
      </c>
      <c r="E10" s="9">
        <f t="shared" si="0"/>
        <v>142189</v>
      </c>
      <c r="G10" s="16"/>
      <c r="I10" s="4">
        <v>6</v>
      </c>
      <c r="J10" s="8">
        <v>0</v>
      </c>
      <c r="K10" s="8">
        <v>-211720.39</v>
      </c>
      <c r="L10" s="8">
        <v>763113.53</v>
      </c>
      <c r="M10" s="9">
        <f t="shared" si="1"/>
        <v>551393.14</v>
      </c>
      <c r="P10" s="5">
        <v>6</v>
      </c>
      <c r="Q10" s="7"/>
      <c r="R10" s="6"/>
      <c r="S10" s="7"/>
      <c r="T10" s="6"/>
    </row>
    <row r="11" spans="1:23" ht="15.75" x14ac:dyDescent="0.25">
      <c r="A11" s="4">
        <v>7</v>
      </c>
      <c r="B11" s="8">
        <v>0</v>
      </c>
      <c r="C11" s="8">
        <v>-41811</v>
      </c>
      <c r="D11" s="8">
        <v>184000</v>
      </c>
      <c r="E11" s="9">
        <f t="shared" si="0"/>
        <v>142189</v>
      </c>
      <c r="G11" s="16"/>
      <c r="I11" s="4">
        <v>7</v>
      </c>
      <c r="J11" s="8">
        <v>0</v>
      </c>
      <c r="K11" s="8">
        <v>-211720.39</v>
      </c>
      <c r="L11" s="8">
        <v>763113.53</v>
      </c>
      <c r="M11" s="9">
        <f t="shared" si="1"/>
        <v>551393.14</v>
      </c>
      <c r="P11" s="5">
        <v>7</v>
      </c>
      <c r="Q11" s="7"/>
      <c r="R11" s="6"/>
      <c r="S11" s="7"/>
      <c r="T11" s="6"/>
    </row>
    <row r="12" spans="1:23" ht="15.75" x14ac:dyDescent="0.25">
      <c r="A12" s="4">
        <v>8</v>
      </c>
      <c r="B12" s="8">
        <v>0</v>
      </c>
      <c r="C12" s="8">
        <v>-41811</v>
      </c>
      <c r="D12" s="8">
        <v>184000</v>
      </c>
      <c r="E12" s="9">
        <f t="shared" ref="E12:E14" si="2">SUM(B12:D12)</f>
        <v>142189</v>
      </c>
      <c r="G12" s="15"/>
      <c r="I12" s="4">
        <v>8</v>
      </c>
      <c r="J12" s="8">
        <v>0</v>
      </c>
      <c r="K12" s="8">
        <v>-211720.39</v>
      </c>
      <c r="L12" s="8">
        <v>763113.53</v>
      </c>
      <c r="M12" s="9">
        <f>SUM(J12:L12)</f>
        <v>551393.14</v>
      </c>
      <c r="P12" s="5">
        <v>8</v>
      </c>
      <c r="Q12" s="7"/>
      <c r="R12" s="6"/>
      <c r="S12" s="7"/>
      <c r="T12" s="6"/>
    </row>
    <row r="13" spans="1:23" ht="15.75" x14ac:dyDescent="0.25">
      <c r="A13" s="4">
        <v>9</v>
      </c>
      <c r="B13" s="8">
        <v>0</v>
      </c>
      <c r="C13" s="8">
        <v>-41811</v>
      </c>
      <c r="D13" s="8">
        <v>184000</v>
      </c>
      <c r="E13" s="9">
        <f t="shared" si="2"/>
        <v>142189</v>
      </c>
      <c r="I13" s="4">
        <v>9</v>
      </c>
      <c r="J13" s="8">
        <v>0</v>
      </c>
      <c r="K13" s="8">
        <v>-211720.39</v>
      </c>
      <c r="L13" s="8">
        <v>763113.53</v>
      </c>
      <c r="M13" s="9">
        <f t="shared" si="1"/>
        <v>551393.14</v>
      </c>
      <c r="P13" s="5">
        <v>9</v>
      </c>
      <c r="Q13" s="7"/>
      <c r="R13" s="6"/>
      <c r="S13" s="7"/>
      <c r="T13" s="6"/>
    </row>
    <row r="14" spans="1:23" ht="15.75" x14ac:dyDescent="0.25">
      <c r="A14" s="4">
        <v>10</v>
      </c>
      <c r="B14" s="8">
        <v>0</v>
      </c>
      <c r="C14" s="8">
        <v>-41811</v>
      </c>
      <c r="D14" s="8">
        <v>184000</v>
      </c>
      <c r="E14" s="9">
        <f t="shared" si="2"/>
        <v>142189</v>
      </c>
      <c r="I14" s="4">
        <v>10</v>
      </c>
      <c r="J14" s="8">
        <v>0</v>
      </c>
      <c r="K14" s="8">
        <v>-211720.39</v>
      </c>
      <c r="L14" s="8">
        <v>763113.53</v>
      </c>
      <c r="M14" s="9">
        <f t="shared" si="1"/>
        <v>551393.14</v>
      </c>
      <c r="P14" s="5">
        <v>10</v>
      </c>
      <c r="Q14" s="7"/>
      <c r="R14" s="6"/>
      <c r="S14" s="7"/>
      <c r="T14" s="6"/>
    </row>
    <row r="15" spans="1:23" ht="15.75" x14ac:dyDescent="0.25">
      <c r="D15" s="10" t="s">
        <v>13</v>
      </c>
      <c r="E15" s="11">
        <f>NPV(W2,E5,E6,E7,E8,E9,E10,E11,E12,E13,E14)</f>
        <v>803348.93291992717</v>
      </c>
      <c r="L15" s="10" t="s">
        <v>13</v>
      </c>
      <c r="M15" s="11">
        <f>NPV(W2,M5,M6,M7,M8,M9,M10,M11,M12,M13,M14)</f>
        <v>3030360.726629837</v>
      </c>
      <c r="P15" s="5">
        <v>11</v>
      </c>
      <c r="Q15" s="7"/>
      <c r="R15" s="6"/>
      <c r="S15" s="7"/>
      <c r="T15" s="6"/>
    </row>
    <row r="16" spans="1:23" ht="15.75" x14ac:dyDescent="0.25">
      <c r="D16" s="10" t="s">
        <v>14</v>
      </c>
      <c r="E16" s="12">
        <f>PMT(W2,10,-E15)</f>
        <v>114378.81488783247</v>
      </c>
      <c r="L16" s="10" t="s">
        <v>14</v>
      </c>
      <c r="M16" s="12">
        <f>PMT(W2,10,-M15)</f>
        <v>431455.19262063858</v>
      </c>
      <c r="P16" s="5">
        <v>12</v>
      </c>
      <c r="Q16" s="7"/>
      <c r="R16" s="6"/>
      <c r="S16" s="7"/>
      <c r="T16" s="6"/>
    </row>
    <row r="17" spans="1:20" ht="15.75" x14ac:dyDescent="0.25">
      <c r="P17" s="5">
        <v>13</v>
      </c>
      <c r="Q17" s="7"/>
      <c r="R17" s="6"/>
      <c r="S17" s="7"/>
      <c r="T17" s="6"/>
    </row>
    <row r="18" spans="1:20" ht="15.75" x14ac:dyDescent="0.25">
      <c r="P18" s="5">
        <v>14</v>
      </c>
      <c r="Q18" s="7"/>
      <c r="R18" s="6"/>
      <c r="S18" s="7"/>
      <c r="T18" s="6"/>
    </row>
    <row r="19" spans="1:20" ht="15.75" x14ac:dyDescent="0.25">
      <c r="P19" s="5">
        <v>15</v>
      </c>
      <c r="Q19" s="7"/>
      <c r="R19" s="6"/>
      <c r="S19" s="7"/>
      <c r="T19" s="6"/>
    </row>
    <row r="20" spans="1:20" x14ac:dyDescent="0.25">
      <c r="S20" s="10" t="s">
        <v>13</v>
      </c>
      <c r="T20" s="11"/>
    </row>
    <row r="21" spans="1:20" x14ac:dyDescent="0.25">
      <c r="S21" s="10" t="s">
        <v>14</v>
      </c>
      <c r="T21" s="12"/>
    </row>
    <row r="22" spans="1:20" ht="45" customHeight="1" x14ac:dyDescent="0.25">
      <c r="A22" s="19" t="s">
        <v>15</v>
      </c>
      <c r="B22" s="19"/>
      <c r="C22" s="19"/>
      <c r="D22" s="19"/>
      <c r="E22" s="19"/>
    </row>
  </sheetData>
  <mergeCells count="1">
    <mergeCell ref="A22:E2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06c7cb9-3c36-40e5-a5d9-86e0029a058a" xsi:nil="true"/>
    <lcf76f155ced4ddcb4097134ff3c332f xmlns="a5db53bf-fe91-4cb9-a657-3e0c4c7ee7a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9BC17E552CE50459814B45CAB38E643" ma:contentTypeVersion="16" ma:contentTypeDescription="Create a new document." ma:contentTypeScope="" ma:versionID="a2c4a0a3be967a154ef3fcd83466f29a">
  <xsd:schema xmlns:xsd="http://www.w3.org/2001/XMLSchema" xmlns:xs="http://www.w3.org/2001/XMLSchema" xmlns:p="http://schemas.microsoft.com/office/2006/metadata/properties" xmlns:ns2="006c7cb9-3c36-40e5-a5d9-86e0029a058a" xmlns:ns3="a5db53bf-fe91-4cb9-a657-3e0c4c7ee7a0" targetNamespace="http://schemas.microsoft.com/office/2006/metadata/properties" ma:root="true" ma:fieldsID="4cb9171e460dc7c1a5cf1b2c367a13c3" ns2:_="" ns3:_="">
    <xsd:import namespace="006c7cb9-3c36-40e5-a5d9-86e0029a058a"/>
    <xsd:import namespace="a5db53bf-fe91-4cb9-a657-3e0c4c7ee7a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DateTaken" minOccurs="0"/>
                <xsd:element ref="ns3:MediaServiceObjectDetectorVersions" minOccurs="0"/>
                <xsd:element ref="ns3:MediaServiceGenerationTime" minOccurs="0"/>
                <xsd:element ref="ns3:MediaServiceEventHashCode" minOccurs="0"/>
                <xsd:element ref="ns3:MediaLengthInSeconds" minOccurs="0"/>
                <xsd:element ref="ns3:MediaServiceLocation" minOccurs="0"/>
                <xsd:element ref="ns3:lcf76f155ced4ddcb4097134ff3c332f" minOccurs="0"/>
                <xsd:element ref="ns2:TaxCatchAll"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c7cb9-3c36-40e5-a5d9-86e0029a058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c6cf274-fc21-4180-95bc-11d99ba0f523}" ma:internalName="TaxCatchAll" ma:showField="CatchAllData" ma:web="006c7cb9-3c36-40e5-a5d9-86e0029a058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db53bf-fe91-4cb9-a657-3e0c4c7ee7a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073764d-e844-48d8-8cbc-d63b9d952867"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FE64AE-A369-4EEB-8916-2CAECBDB78AF}">
  <ds:schemaRefs>
    <ds:schemaRef ds:uri="http://schemas.microsoft.com/office/2006/metadata/properties"/>
    <ds:schemaRef ds:uri="http://schemas.microsoft.com/office/infopath/2007/PartnerControls"/>
    <ds:schemaRef ds:uri="006c7cb9-3c36-40e5-a5d9-86e0029a058a"/>
    <ds:schemaRef ds:uri="a5db53bf-fe91-4cb9-a657-3e0c4c7ee7a0"/>
  </ds:schemaRefs>
</ds:datastoreItem>
</file>

<file path=customXml/itemProps2.xml><?xml version="1.0" encoding="utf-8"?>
<ds:datastoreItem xmlns:ds="http://schemas.openxmlformats.org/officeDocument/2006/customXml" ds:itemID="{98DC4FED-1847-4410-B188-B279FB52EC83}">
  <ds:schemaRefs>
    <ds:schemaRef ds:uri="http://schemas.microsoft.com/sharepoint/v3/contenttype/forms"/>
  </ds:schemaRefs>
</ds:datastoreItem>
</file>

<file path=customXml/itemProps3.xml><?xml version="1.0" encoding="utf-8"?>
<ds:datastoreItem xmlns:ds="http://schemas.openxmlformats.org/officeDocument/2006/customXml" ds:itemID="{4185EB5F-2BA9-4881-A2DF-9DA3A72126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c7cb9-3c36-40e5-a5d9-86e0029a058a"/>
    <ds:schemaRef ds:uri="a5db53bf-fe91-4cb9-a657-3e0c4c7ee7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PW AW Comparison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Jacob Brodersen</cp:lastModifiedBy>
  <cp:revision/>
  <dcterms:created xsi:type="dcterms:W3CDTF">2025-09-23T15:37:39Z</dcterms:created>
  <dcterms:modified xsi:type="dcterms:W3CDTF">2026-03-27T03:11:50Z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0x01010069BC17E552CE50459814B45CAB38E643</vt:lpwstr>
  </property>
  <property fmtid="{D5CDD505-2E9C-101B-9397-08002B2CF9AE}" pid="3" name="MediaServiceImageTags">
    <vt:lpwstr/>
  </property>
</Properties>
</file>