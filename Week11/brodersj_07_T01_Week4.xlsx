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https://mcmasteru365-my.sharepoint.com/personal/brodersj_mcmaster_ca/Documents/"/>
    </mc:Choice>
  </mc:AlternateContent>
  <xr:revisionPtr revIDLastSave="422" documentId="8_{A48ED4FD-22A7-4BA8-BD01-3CE5046048F7}" xr6:coauthVersionLast="47" xr6:coauthVersionMax="47" xr10:uidLastSave="{EB3682C5-77CF-4F22-8281-8EE087708923}"/>
  <bookViews>
    <workbookView xWindow="-120" yWindow="-120" windowWidth="38640" windowHeight="21240" xr2:uid="{00000000-000D-0000-FFFF-FFFF00000000}"/>
  </bookViews>
  <sheets>
    <sheet name="Critical Path Method" sheetId="3" r:id="rId1"/>
    <sheet name="Cost Benefit Analysi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4" l="1"/>
  <c r="G22" i="4"/>
  <c r="F22" i="4"/>
  <c r="E22" i="4"/>
  <c r="D22" i="4"/>
  <c r="G21" i="4"/>
  <c r="F21" i="4"/>
  <c r="E21" i="4"/>
  <c r="D21" i="4"/>
  <c r="G20" i="4"/>
  <c r="F20" i="4"/>
  <c r="E20" i="4"/>
  <c r="D20" i="4"/>
  <c r="G19" i="4"/>
  <c r="F19" i="4"/>
  <c r="E19" i="4"/>
  <c r="D19" i="4"/>
  <c r="G18" i="4"/>
  <c r="G23" i="4" s="1"/>
  <c r="F18" i="4"/>
  <c r="F23" i="4" s="1"/>
  <c r="E18" i="4"/>
  <c r="D18" i="4"/>
  <c r="G16" i="4"/>
  <c r="F16" i="4"/>
  <c r="E16" i="4"/>
  <c r="D16" i="4"/>
  <c r="C16" i="4"/>
  <c r="G15" i="4"/>
  <c r="F15" i="4"/>
  <c r="E15" i="4"/>
  <c r="D15" i="4"/>
  <c r="C15" i="4"/>
  <c r="G14" i="4"/>
  <c r="F14" i="4"/>
  <c r="E14" i="4"/>
  <c r="D14" i="4"/>
  <c r="D23" i="4" s="1"/>
  <c r="C14" i="4"/>
  <c r="K12" i="4"/>
  <c r="C12" i="4"/>
  <c r="C11" i="4"/>
  <c r="C23" i="4" s="1"/>
  <c r="H23" i="4" s="1"/>
  <c r="C10" i="4"/>
</calcChain>
</file>

<file path=xl/sharedStrings.xml><?xml version="1.0" encoding="utf-8"?>
<sst xmlns="http://schemas.openxmlformats.org/spreadsheetml/2006/main" count="129" uniqueCount="119">
  <si>
    <t>Critical Path Method</t>
  </si>
  <si>
    <r>
      <rPr>
        <b/>
        <sz val="11"/>
        <color rgb="FF000000"/>
        <rFont val="Arial Narrow"/>
      </rPr>
      <t xml:space="preserve">Note: </t>
    </r>
    <r>
      <rPr>
        <sz val="11"/>
        <color rgb="FF000000"/>
        <rFont val="Arial Narrow"/>
      </rPr>
      <t>The CPM should be done in an external app/hand drawn OR in the table.</t>
    </r>
  </si>
  <si>
    <t>Task</t>
  </si>
  <si>
    <t>Dependency</t>
  </si>
  <si>
    <t>Discussion/Reference</t>
  </si>
  <si>
    <t>Relationships</t>
  </si>
  <si>
    <t>Tasks</t>
  </si>
  <si>
    <t>Finish-to Start</t>
  </si>
  <si>
    <t>Start-to Finish</t>
  </si>
  <si>
    <t>Start-to Start</t>
  </si>
  <si>
    <t>Finish-to Finish</t>
  </si>
  <si>
    <t>Category</t>
  </si>
  <si>
    <t>Year 1</t>
  </si>
  <si>
    <t>Year 2</t>
  </si>
  <si>
    <t>Year 3</t>
  </si>
  <si>
    <t>Year 4</t>
  </si>
  <si>
    <t>Year 5</t>
  </si>
  <si>
    <t>Capital Costs (CapEx)</t>
  </si>
  <si>
    <t>Operating Costs (OpEx)</t>
  </si>
  <si>
    <t>Benefits (Monetized)</t>
  </si>
  <si>
    <t>Net Cash Flow (Total)</t>
  </si>
  <si>
    <t>Duration (Weeks)</t>
  </si>
  <si>
    <t>Install Cameras, Sensors, and Security-Related Hardware</t>
  </si>
  <si>
    <t>Install Hard Drives and Connect Storage Together</t>
  </si>
  <si>
    <t>Set Up Central Access for Data Center</t>
  </si>
  <si>
    <t>Install WAPs</t>
  </si>
  <si>
    <t>Set Up Communication Network Between Cameras, Sensors, and Security-Related Hardware and WAPs</t>
  </si>
  <si>
    <t>Train Staff To Use Security System</t>
  </si>
  <si>
    <t>This is an extensive process to be done by the Network Engineer. There are many cameras, sensors, etc. that must be connected to the various WAPs. Then there is the process of ensuring all the networking is being done properly and is secured with WPA3. Therefore, we give this task a long duration of four weeks.</t>
  </si>
  <si>
    <t>N/A</t>
  </si>
  <si>
    <t>Acceptance Testing for Software with Stakeholders</t>
  </si>
  <si>
    <t>Determine Project Scope and Elicit Stakeholder Requirements</t>
  </si>
  <si>
    <t>Determine Optimal Placement / Amount of Subsystem Equipment (e.g., cameras, hard drives, etc.)</t>
  </si>
  <si>
    <t>Purchase Required Equipment (e.g., cameras, hard drives, etc.)</t>
  </si>
  <si>
    <t>Set Up Data Center Storage Facility (e.g., Storage Compartments for Hard Drives)</t>
  </si>
  <si>
    <t>4.1 and 3.3</t>
  </si>
  <si>
    <t>4.1 and 2.2</t>
  </si>
  <si>
    <t>Certification of Cybersecurity for Whole System</t>
  </si>
  <si>
    <t>System Validation with Stakeholders</t>
  </si>
  <si>
    <t>Availability Testing of System</t>
  </si>
  <si>
    <t>This task involves getting the room ready to become a data center such as setting up the storage containers for the hard drives. This is a relatively trivial task and should take no more than 2 weeks.</t>
  </si>
  <si>
    <t>Similar to the cameras, sensors, and security-related devices, installing the WAPs should be a straightforward process (again assuming that the necessary infrastructure is already in place). However, there are much less WAPs than there are cameras, sensors, etc. Therefore, this task should only take one week.</t>
  </si>
  <si>
    <t>This will be an ongoing process throughout the first year of the subsystem's use to make sure it keeps up with the required availability.</t>
  </si>
  <si>
    <t>We will first take two weeks to define the project scope and elicit the requirements of the subsystem from our stakeholders.</t>
  </si>
  <si>
    <t>Getting more accurate measures of the amount of equipment required (e.g., cameras), where they should be placed, etc. will take a while due to the scale of the subsystem. Therefore, this task is estimated to take around 4 weeks.</t>
  </si>
  <si>
    <t>This is the same process as 4.2, except that there are much less WAPs than there are cameras, sensors, etc. Therefore, it will take two weeks less than 4.2.</t>
  </si>
  <si>
    <t>All Tasks</t>
  </si>
  <si>
    <t>Software Setup</t>
  </si>
  <si>
    <t>Works Cited</t>
  </si>
  <si>
    <t>Assuming the equipment is being shipped internationally, it will take around one week to arrive [1].</t>
  </si>
  <si>
    <t>To ensure that the entire security subsystem meets all stakeholder needs, we will need one month of testing [4].</t>
  </si>
  <si>
    <t>Generally, it takes employees three months to be fully trained and ready to work effectively [5].</t>
  </si>
  <si>
    <t>[1] Canada Post, "Compare International Shipping Services," Canada Post, [Online]. Available: https://www.canadapost-postescanada.ca/cpc/en/personal/send-internationally/compare-services.page. [Accessed 29 January 2025].
[2] R. Vong, "User Acceptance Testing: Complete 2025 Guide for Agencies &amp; Development Teams," Bugherd, 7 November 2025. [Online]. Available: https://bugherd.com/blog/user-acceptance-testing. [Accessed 29 January 2026].
[3] Compleye, "What does it take to get ISO 27001 certified?," Compleye, [Online]. Available: https://compleye.io/what-does-it-take-to-get-iso-27001-certified/. [Accessed 29 January 2026].
[4] J. Ng, "User Acceptance Testing (UAT): The Guide for End-user and Business Analyst," Our Sky, [Online]. Available: https://www.oursky.com/blogs/user-acceptance-testing-uat-the-guide-for-end-user-and-business-analyst. [Accessed 29 January 2026].
[5] L. Trisca, "How Long Should Onboarding Take? Best Practices and Ideal Timeline," Deel, 6 March 2025. [Online]. Available: https://www.deel.com/blog/how-long-should-onboarding-take-timeline/. [Accessed 29 January 2026].</t>
  </si>
  <si>
    <t>Set Up Communication Network Between WAPs and Data Center Central Access Point</t>
  </si>
  <si>
    <t>Work Breakdown Structure</t>
  </si>
  <si>
    <t>Critical Path Method Diagram</t>
  </si>
  <si>
    <t>This task involves installing all of the cameras, sensors, etc. For the duration, it is assumed that all necessary infrastructure is already in place (e.g., power lines). Due to the large number of devices that need to be installed , a 2 week duration is estimated.</t>
  </si>
  <si>
    <t>Installing the hard drives and connecting them together with cables is relatively trivial and as such, can be finished very quickly (1 week).</t>
  </si>
  <si>
    <t>This involves setting up a central computer/server in which all the data can be accessed and connecting it to the data storage. Again, this is trivial and should not take much time to complete (1 week).</t>
  </si>
  <si>
    <t>Generally, Acceptance Testing with users takes around 4 weeks [2]. Note that this timeframe includes necessary modifications to the software based on stakeholder feedback.</t>
  </si>
  <si>
    <t>Assuming the certification is ISO 27001 (a standard cybersecurity certification), it takes about 6 months to get certified [3].</t>
  </si>
  <si>
    <t>Annual Cash Flow</t>
  </si>
  <si>
    <t>Year</t>
  </si>
  <si>
    <t>Parameters</t>
  </si>
  <si>
    <t>Converstion Factors</t>
  </si>
  <si>
    <t>Item</t>
  </si>
  <si>
    <t>Number of Cameras</t>
  </si>
  <si>
    <t>#</t>
  </si>
  <si>
    <t>Camera</t>
  </si>
  <si>
    <t>$/camera</t>
  </si>
  <si>
    <t>CapEx</t>
  </si>
  <si>
    <t>Cameras</t>
  </si>
  <si>
    <t>TBs of Storage</t>
  </si>
  <si>
    <t>TB</t>
  </si>
  <si>
    <t>TB of Storage</t>
  </si>
  <si>
    <t>$/TB</t>
  </si>
  <si>
    <t>Hard Drives</t>
  </si>
  <si>
    <t>Required Network Bandwidth</t>
  </si>
  <si>
    <t>MB/s</t>
  </si>
  <si>
    <t>Wireless Access Point Bandwidth</t>
  </si>
  <si>
    <t>Wireless Access Points</t>
  </si>
  <si>
    <t>Number of Wireless Access Points:</t>
  </si>
  <si>
    <t>Wireless Access Point</t>
  </si>
  <si>
    <t>$/WAP</t>
  </si>
  <si>
    <t>Property Insurance</t>
  </si>
  <si>
    <t>$</t>
  </si>
  <si>
    <t>Camera Maintenance</t>
  </si>
  <si>
    <t>OpEx</t>
  </si>
  <si>
    <t>Camera, Sensor, Security-Related Device Maintenance</t>
  </si>
  <si>
    <t>Encryption Savings</t>
  </si>
  <si>
    <t>Security Guard</t>
  </si>
  <si>
    <t>$/hour</t>
  </si>
  <si>
    <t>Salary of Network Engineer</t>
  </si>
  <si>
    <t>Low Bandwidth Productivity Rate</t>
  </si>
  <si>
    <t>% (in decimal form)</t>
  </si>
  <si>
    <t>Property Insurance Reduction</t>
  </si>
  <si>
    <t>Data Center Energy</t>
  </si>
  <si>
    <t>Pessimistic Network Engineer Salary</t>
  </si>
  <si>
    <t>$/year</t>
  </si>
  <si>
    <t>Average Breaches</t>
  </si>
  <si>
    <t>#/year</t>
  </si>
  <si>
    <t>Most Likely Network Engineer Salary</t>
  </si>
  <si>
    <t>kWh per TB</t>
  </si>
  <si>
    <t>kWh/TB</t>
  </si>
  <si>
    <t>Benefits</t>
  </si>
  <si>
    <t>Eliminated Patrol Salary</t>
  </si>
  <si>
    <t>Optimistic Network Engineer Salary</t>
  </si>
  <si>
    <t>$ per kWh</t>
  </si>
  <si>
    <t>$/kWh</t>
  </si>
  <si>
    <t>Expected Value of Avoided Downtime</t>
  </si>
  <si>
    <t>Reduced Property Insurance Premiums</t>
  </si>
  <si>
    <t>Enhanced Encryption</t>
  </si>
  <si>
    <t>Security Productivity</t>
  </si>
  <si>
    <t>Total</t>
  </si>
  <si>
    <t>Net Cash Flow</t>
  </si>
  <si>
    <t>Security system software already exists and can be utilized within this subsystem. Assuming only slight modifications are required to fit the facility's specific needs, this should not take more than two weeks to setup on the central access for the data center.</t>
  </si>
  <si>
    <t>Assuming the majority of the devices were installed properly and are physically sound, this is a simple check that should take no more than one week.</t>
  </si>
  <si>
    <t>Check Installation of Cameras, Sensors, and Security-Related Hardware for Faults That Could Cause Breakdown</t>
  </si>
  <si>
    <t>4.2, 4.3, and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</si>
</sst>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1"/>
      <color theme="1"/>
      <name val="Aptos Narrow"/>
      <family val="2"/>
      <scheme val="minor"/>
    </font>
    <font>
      <sz val="11"/>
      <color theme="1"/>
      <name val="Arial Narrow"/>
    </font>
    <font>
      <b/>
      <u/>
      <sz val="11"/>
      <color theme="1"/>
      <name val="Arial Narrow"/>
    </font>
    <font>
      <b/>
      <sz val="11"/>
      <color theme="1"/>
      <name val="Arial Narrow"/>
    </font>
    <font>
      <sz val="12"/>
      <color rgb="FF000000"/>
      <name val="Arial Narrow"/>
      <family val="2"/>
    </font>
    <font>
      <sz val="12"/>
      <color theme="1"/>
      <name val="Arial Narrow"/>
      <family val="2"/>
    </font>
    <font>
      <b/>
      <sz val="12"/>
      <color rgb="FFEE0000"/>
      <name val="Arial Narrow"/>
      <family val="2"/>
    </font>
    <font>
      <sz val="12"/>
      <color rgb="FFEE0000"/>
      <name val="Arial Narrow"/>
      <family val="2"/>
    </font>
    <font>
      <b/>
      <sz val="12"/>
      <color theme="1"/>
      <name val="Arial Narrow"/>
      <family val="2"/>
    </font>
    <font>
      <b/>
      <sz val="11"/>
      <color rgb="FF000000"/>
      <name val="Arial Narrow"/>
    </font>
    <font>
      <sz val="11"/>
      <color rgb="FF000000"/>
      <name val="Arial Narrow"/>
    </font>
    <font>
      <b/>
      <sz val="11"/>
      <color theme="1"/>
      <name val="Arial Narrow"/>
      <family val="2"/>
    </font>
    <font>
      <sz val="11"/>
      <color theme="1"/>
      <name val="Arial Narrow"/>
      <family val="2"/>
    </font>
    <font>
      <b/>
      <sz val="11"/>
      <color theme="1"/>
      <name val="Aptos Narrow"/>
      <family val="2"/>
      <scheme val="minor"/>
    </font>
    <font>
      <b/>
      <u/>
      <sz val="24"/>
      <color theme="1"/>
      <name val="Arial Narrow"/>
      <family val="2"/>
    </font>
  </fonts>
  <fills count="6">
    <fill>
      <patternFill patternType="none"/>
    </fill>
    <fill>
      <patternFill patternType="gray125"/>
    </fill>
    <fill>
      <patternFill patternType="solid">
        <fgColor rgb="FFD9D9D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9">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medium">
        <color rgb="FF7F7F7F"/>
      </top>
      <bottom style="medium">
        <color rgb="FF7F7F7F"/>
      </bottom>
      <diagonal/>
    </border>
    <border>
      <left/>
      <right/>
      <top/>
      <bottom style="medium">
        <color rgb="FF7F7F7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3" xfId="0" applyFont="1" applyBorder="1" applyAlignment="1">
      <alignment horizontal="center"/>
    </xf>
    <xf numFmtId="0" fontId="1" fillId="0" borderId="5" xfId="0" applyFont="1" applyBorder="1"/>
    <xf numFmtId="0" fontId="1" fillId="0" borderId="6" xfId="0" applyFont="1" applyBorder="1"/>
    <xf numFmtId="0" fontId="1" fillId="0" borderId="8" xfId="0" applyFont="1" applyBorder="1"/>
    <xf numFmtId="0" fontId="1" fillId="0" borderId="9" xfId="0" applyFont="1" applyBorder="1"/>
    <xf numFmtId="0" fontId="3" fillId="0" borderId="1" xfId="0" applyFont="1" applyBorder="1"/>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1" fillId="0" borderId="11" xfId="0" applyFont="1" applyBorder="1"/>
    <xf numFmtId="0" fontId="3" fillId="0" borderId="1" xfId="0" applyFont="1" applyBorder="1" applyAlignment="1">
      <alignment horizontal="center"/>
    </xf>
    <xf numFmtId="0" fontId="1" fillId="0" borderId="4" xfId="0" applyFont="1" applyBorder="1"/>
    <xf numFmtId="0" fontId="1" fillId="0" borderId="7" xfId="0" applyFont="1" applyBorder="1"/>
    <xf numFmtId="0" fontId="3" fillId="0" borderId="12" xfId="0" applyFont="1" applyBorder="1" applyAlignment="1">
      <alignment horizontal="center" vertical="center"/>
    </xf>
    <xf numFmtId="0" fontId="1" fillId="0" borderId="10" xfId="0" applyFont="1" applyBorder="1"/>
    <xf numFmtId="0" fontId="3" fillId="0" borderId="1" xfId="0" applyFont="1" applyBorder="1" applyAlignment="1">
      <alignment horizontal="center" vertical="center"/>
    </xf>
    <xf numFmtId="0" fontId="1" fillId="0" borderId="2" xfId="0" applyFont="1" applyBorder="1"/>
    <xf numFmtId="0" fontId="3" fillId="0" borderId="14" xfId="0" applyFont="1" applyBorder="1" applyAlignment="1">
      <alignment horizontal="center" vertical="center"/>
    </xf>
    <xf numFmtId="0" fontId="4" fillId="2" borderId="16" xfId="0" applyFont="1" applyFill="1" applyBorder="1" applyAlignment="1">
      <alignment horizontal="justify" vertical="center" wrapText="1"/>
    </xf>
    <xf numFmtId="0" fontId="5" fillId="0" borderId="17" xfId="0" applyFont="1" applyBorder="1" applyAlignment="1">
      <alignment horizontal="left" vertical="center" wrapText="1"/>
    </xf>
    <xf numFmtId="0" fontId="5" fillId="0" borderId="0" xfId="0" applyFont="1" applyAlignment="1">
      <alignment horizontal="left" vertical="center" wrapText="1"/>
    </xf>
    <xf numFmtId="0" fontId="5" fillId="0" borderId="16" xfId="0" applyFont="1" applyBorder="1" applyAlignment="1">
      <alignment horizontal="left" vertical="center" wrapText="1"/>
    </xf>
    <xf numFmtId="0" fontId="10" fillId="0" borderId="0" xfId="0" applyFont="1"/>
    <xf numFmtId="0" fontId="3" fillId="0" borderId="12" xfId="0" applyFont="1" applyBorder="1" applyAlignment="1">
      <alignment horizontal="center"/>
    </xf>
    <xf numFmtId="0" fontId="1" fillId="0" borderId="2" xfId="0" applyFont="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1" fillId="0" borderId="13" xfId="0" applyFont="1" applyBorder="1" applyAlignment="1">
      <alignment wrapText="1"/>
    </xf>
    <xf numFmtId="0" fontId="1" fillId="0" borderId="15" xfId="0" applyFont="1" applyBorder="1" applyAlignment="1">
      <alignment wrapText="1"/>
    </xf>
    <xf numFmtId="0" fontId="1" fillId="0" borderId="9" xfId="0" applyFont="1" applyBorder="1" applyAlignment="1">
      <alignment wrapText="1"/>
    </xf>
    <xf numFmtId="0" fontId="1" fillId="0" borderId="5" xfId="0" applyFont="1" applyBorder="1" applyAlignment="1">
      <alignment horizontal="right"/>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1" fillId="0" borderId="10" xfId="0" applyFont="1" applyBorder="1" applyAlignment="1">
      <alignment wrapText="1"/>
    </xf>
    <xf numFmtId="0" fontId="11" fillId="0" borderId="0" xfId="0" applyFont="1"/>
    <xf numFmtId="0" fontId="12" fillId="0" borderId="6" xfId="0" applyFont="1" applyBorder="1" applyAlignment="1">
      <alignment horizontal="left" vertical="top" wrapText="1"/>
    </xf>
    <xf numFmtId="0" fontId="12" fillId="0" borderId="6" xfId="0" applyFont="1" applyBorder="1" applyAlignment="1">
      <alignment vertical="top" wrapText="1"/>
    </xf>
    <xf numFmtId="0" fontId="12" fillId="0" borderId="13" xfId="0" applyFont="1" applyBorder="1" applyAlignment="1">
      <alignment wrapText="1"/>
    </xf>
    <xf numFmtId="0" fontId="12" fillId="0" borderId="6" xfId="0" applyFont="1" applyBorder="1" applyAlignment="1">
      <alignment wrapText="1"/>
    </xf>
    <xf numFmtId="0" fontId="12" fillId="0" borderId="5" xfId="0" applyFont="1" applyBorder="1"/>
    <xf numFmtId="0" fontId="12" fillId="0" borderId="8" xfId="0" applyFont="1" applyBorder="1" applyAlignment="1">
      <alignment wrapText="1"/>
    </xf>
    <xf numFmtId="0" fontId="14" fillId="0" borderId="0" xfId="0" applyFont="1"/>
    <xf numFmtId="0" fontId="12" fillId="0" borderId="0" xfId="0" applyFont="1" applyAlignment="1">
      <alignment vertical="top" wrapText="1"/>
    </xf>
    <xf numFmtId="0" fontId="11" fillId="0" borderId="0" xfId="0" applyFont="1" applyAlignment="1">
      <alignment horizontal="left" vertical="center" wrapText="1"/>
    </xf>
    <xf numFmtId="164" fontId="6" fillId="0" borderId="17" xfId="0" applyNumberFormat="1" applyFont="1" applyBorder="1" applyAlignment="1">
      <alignment horizontal="left" vertical="center" wrapText="1"/>
    </xf>
    <xf numFmtId="164" fontId="5" fillId="0" borderId="17" xfId="0" applyNumberFormat="1" applyFont="1" applyBorder="1" applyAlignment="1">
      <alignment horizontal="left" vertical="center" wrapText="1"/>
    </xf>
    <xf numFmtId="164" fontId="7" fillId="0" borderId="0" xfId="0" applyNumberFormat="1" applyFont="1" applyAlignment="1">
      <alignment horizontal="left" vertical="center" wrapText="1"/>
    </xf>
    <xf numFmtId="164" fontId="5" fillId="0" borderId="16" xfId="0" applyNumberFormat="1" applyFont="1" applyBorder="1" applyAlignment="1">
      <alignment horizontal="left" vertical="center" wrapText="1"/>
    </xf>
    <xf numFmtId="164" fontId="8" fillId="0" borderId="16" xfId="0" applyNumberFormat="1" applyFont="1" applyBorder="1" applyAlignment="1">
      <alignment horizontal="left" vertical="center" wrapText="1"/>
    </xf>
    <xf numFmtId="0" fontId="13" fillId="0" borderId="0" xfId="0" applyFont="1" applyAlignment="1">
      <alignment horizontal="center"/>
    </xf>
    <xf numFmtId="0" fontId="0" fillId="0" borderId="18" xfId="0" applyBorder="1"/>
    <xf numFmtId="0" fontId="13" fillId="0" borderId="18" xfId="0" applyFont="1" applyBorder="1"/>
    <xf numFmtId="0" fontId="13" fillId="3" borderId="18" xfId="0" applyFont="1" applyFill="1" applyBorder="1"/>
    <xf numFmtId="0" fontId="0" fillId="3" borderId="18" xfId="0" applyFill="1" applyBorder="1"/>
    <xf numFmtId="2" fontId="0" fillId="3" borderId="18" xfId="0" applyNumberFormat="1" applyFill="1" applyBorder="1"/>
    <xf numFmtId="0" fontId="13" fillId="4" borderId="18" xfId="0" applyFont="1" applyFill="1" applyBorder="1"/>
    <xf numFmtId="0" fontId="0" fillId="4" borderId="18" xfId="0" applyFill="1" applyBorder="1"/>
    <xf numFmtId="2" fontId="0" fillId="4" borderId="18" xfId="0" applyNumberFormat="1" applyFill="1" applyBorder="1"/>
    <xf numFmtId="0" fontId="13" fillId="5" borderId="18" xfId="0" applyFont="1" applyFill="1" applyBorder="1"/>
    <xf numFmtId="0" fontId="0" fillId="5" borderId="18" xfId="0" applyFill="1" applyBorder="1"/>
    <xf numFmtId="2" fontId="0" fillId="5" borderId="18" xfId="0" applyNumberFormat="1" applyFill="1" applyBorder="1"/>
    <xf numFmtId="0" fontId="13" fillId="0" borderId="0" xfId="0" applyFont="1"/>
    <xf numFmtId="2" fontId="0" fillId="0" borderId="0" xfId="0" applyNumberFormat="1"/>
    <xf numFmtId="0" fontId="1" fillId="0" borderId="10" xfId="0" applyFont="1" applyBorder="1" applyAlignment="1">
      <alignment horizontal="right"/>
    </xf>
  </cellXfs>
  <cellStyles count="1">
    <cellStyle name="Normal" xfId="0" builtinId="0"/>
  </cellStyles>
  <dxfs count="0"/>
  <tableStyles count="0" defaultTableStyle="TableStyleMedium2" defaultPivotStyle="PivotStyleMedium9"/>
  <colors>
    <mruColors>
      <color rgb="FFFFCCCC"/>
      <color rgb="FF9A0000"/>
      <color rgb="FFFF9999"/>
      <color rgb="FFFF7C80"/>
      <color rgb="FFFF5050"/>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586815</xdr:colOff>
      <xdr:row>4</xdr:row>
      <xdr:rowOff>55469</xdr:rowOff>
    </xdr:from>
    <xdr:to>
      <xdr:col>39</xdr:col>
      <xdr:colOff>231812</xdr:colOff>
      <xdr:row>8</xdr:row>
      <xdr:rowOff>442184</xdr:rowOff>
    </xdr:to>
    <xdr:pic>
      <xdr:nvPicPr>
        <xdr:cNvPr id="4" name="Picture 1">
          <a:extLst>
            <a:ext uri="{FF2B5EF4-FFF2-40B4-BE49-F238E27FC236}">
              <a16:creationId xmlns:a16="http://schemas.microsoft.com/office/drawing/2014/main" id="{7D443691-5236-BEE1-7D1B-5E6A01043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6790" y="988919"/>
          <a:ext cx="13665797" cy="6693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571500</xdr:colOff>
      <xdr:row>11</xdr:row>
      <xdr:rowOff>145676</xdr:rowOff>
    </xdr:from>
    <xdr:to>
      <xdr:col>57</xdr:col>
      <xdr:colOff>166407</xdr:colOff>
      <xdr:row>18</xdr:row>
      <xdr:rowOff>347382</xdr:rowOff>
    </xdr:to>
    <xdr:pic>
      <xdr:nvPicPr>
        <xdr:cNvPr id="6" name="Picture 5">
          <a:extLst>
            <a:ext uri="{FF2B5EF4-FFF2-40B4-BE49-F238E27FC236}">
              <a16:creationId xmlns:a16="http://schemas.microsoft.com/office/drawing/2014/main" id="{DB30551B-C74C-4F1B-03F6-5BCE14D21A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06647" y="10152529"/>
          <a:ext cx="24404731" cy="8606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B10A0-AADF-410A-8844-52611B3D69F7}">
  <dimension ref="A2:AG21"/>
  <sheetViews>
    <sheetView tabSelected="1" zoomScale="70" zoomScaleNormal="70" workbookViewId="0">
      <selection activeCell="K9" sqref="K9"/>
    </sheetView>
  </sheetViews>
  <sheetFormatPr defaultColWidth="9.140625" defaultRowHeight="16.5" x14ac:dyDescent="0.3"/>
  <cols>
    <col min="1" max="1" width="4.28515625" style="1" bestFit="1" customWidth="1"/>
    <col min="2" max="2" width="39.42578125" style="1" customWidth="1"/>
    <col min="3" max="3" width="18" style="1" customWidth="1"/>
    <col min="4" max="4" width="17.7109375" style="1" customWidth="1"/>
    <col min="5" max="5" width="36.42578125" style="1" customWidth="1"/>
    <col min="6" max="7" width="9.140625" style="1"/>
    <col min="8" max="8" width="15.5703125" style="1" bestFit="1" customWidth="1"/>
    <col min="9" max="9" width="15.85546875" style="1" customWidth="1"/>
    <col min="10" max="10" width="9.140625" style="1"/>
    <col min="11" max="11" width="98.42578125" style="1" customWidth="1"/>
    <col min="12" max="16384" width="9.140625" style="1"/>
  </cols>
  <sheetData>
    <row r="2" spans="1:33" x14ac:dyDescent="0.3">
      <c r="B2" s="2" t="s">
        <v>0</v>
      </c>
    </row>
    <row r="3" spans="1:33" ht="13.9" x14ac:dyDescent="0.3">
      <c r="B3" s="27" t="s">
        <v>1</v>
      </c>
    </row>
    <row r="4" spans="1:33" ht="27" customHeight="1" x14ac:dyDescent="0.4">
      <c r="A4" s="8"/>
      <c r="B4" s="9" t="s">
        <v>2</v>
      </c>
      <c r="C4" s="9" t="s">
        <v>3</v>
      </c>
      <c r="D4" s="9" t="s">
        <v>21</v>
      </c>
      <c r="E4" s="10" t="s">
        <v>4</v>
      </c>
      <c r="H4" s="15" t="s">
        <v>5</v>
      </c>
      <c r="I4" s="3" t="s">
        <v>6</v>
      </c>
      <c r="K4" s="40" t="s">
        <v>48</v>
      </c>
      <c r="R4" s="47" t="s">
        <v>54</v>
      </c>
    </row>
    <row r="5" spans="1:33" ht="246" customHeight="1" x14ac:dyDescent="0.3">
      <c r="A5" s="11">
        <v>1.1000000000000001</v>
      </c>
      <c r="B5" s="31" t="s">
        <v>31</v>
      </c>
      <c r="C5" s="36" t="s">
        <v>29</v>
      </c>
      <c r="D5" s="36">
        <v>2</v>
      </c>
      <c r="E5" s="37" t="s">
        <v>43</v>
      </c>
      <c r="H5" s="16" t="s">
        <v>7</v>
      </c>
      <c r="I5" s="5" t="s">
        <v>46</v>
      </c>
      <c r="K5" s="48" t="s">
        <v>52</v>
      </c>
    </row>
    <row r="6" spans="1:33" ht="99.75" customHeight="1" x14ac:dyDescent="0.3">
      <c r="A6" s="11">
        <v>1.2</v>
      </c>
      <c r="B6" s="38" t="s">
        <v>32</v>
      </c>
      <c r="C6" s="36">
        <v>1.1000000000000001</v>
      </c>
      <c r="D6" s="36">
        <v>4</v>
      </c>
      <c r="E6" s="37" t="s">
        <v>44</v>
      </c>
      <c r="H6" s="16" t="s">
        <v>8</v>
      </c>
      <c r="I6" s="5" t="s">
        <v>29</v>
      </c>
      <c r="R6"/>
    </row>
    <row r="7" spans="1:33" ht="50.25" thickBot="1" x14ac:dyDescent="0.35">
      <c r="A7" s="11">
        <v>1.3</v>
      </c>
      <c r="B7" s="31" t="s">
        <v>33</v>
      </c>
      <c r="C7" s="36">
        <v>1.2</v>
      </c>
      <c r="D7" s="36">
        <v>1</v>
      </c>
      <c r="E7" s="41" t="s">
        <v>49</v>
      </c>
      <c r="H7" s="16" t="s">
        <v>9</v>
      </c>
      <c r="I7" s="5" t="s">
        <v>29</v>
      </c>
    </row>
    <row r="8" spans="1:33" ht="99.75" thickBot="1" x14ac:dyDescent="0.35">
      <c r="A8" s="20">
        <v>2.1</v>
      </c>
      <c r="B8" s="29" t="s">
        <v>22</v>
      </c>
      <c r="C8" s="21">
        <v>1.3</v>
      </c>
      <c r="D8" s="21">
        <v>2</v>
      </c>
      <c r="E8" s="30" t="s">
        <v>56</v>
      </c>
      <c r="H8" s="17" t="s">
        <v>10</v>
      </c>
      <c r="I8" s="7" t="s">
        <v>29</v>
      </c>
    </row>
    <row r="9" spans="1:33" ht="66.75" thickBot="1" x14ac:dyDescent="0.35">
      <c r="A9" s="12">
        <v>2.2000000000000002</v>
      </c>
      <c r="B9" s="31" t="s">
        <v>117</v>
      </c>
      <c r="C9" s="4">
        <v>2.1</v>
      </c>
      <c r="D9" s="4">
        <v>1</v>
      </c>
      <c r="E9" s="32" t="s">
        <v>116</v>
      </c>
    </row>
    <row r="10" spans="1:33" ht="82.5" x14ac:dyDescent="0.3">
      <c r="A10" s="20">
        <v>3.1</v>
      </c>
      <c r="B10" s="29" t="s">
        <v>34</v>
      </c>
      <c r="C10" s="21">
        <v>1.3</v>
      </c>
      <c r="D10" s="21">
        <v>2</v>
      </c>
      <c r="E10" s="30" t="s">
        <v>40</v>
      </c>
    </row>
    <row r="11" spans="1:33" ht="67.5" x14ac:dyDescent="0.4">
      <c r="A11" s="12">
        <v>3.2</v>
      </c>
      <c r="B11" s="4" t="s">
        <v>23</v>
      </c>
      <c r="C11" s="4">
        <v>3.1</v>
      </c>
      <c r="D11" s="4">
        <v>1</v>
      </c>
      <c r="E11" s="32" t="s">
        <v>57</v>
      </c>
      <c r="R11" s="47" t="s">
        <v>55</v>
      </c>
    </row>
    <row r="12" spans="1:33" ht="82.5" x14ac:dyDescent="0.3">
      <c r="A12" s="12">
        <v>3.3</v>
      </c>
      <c r="B12" s="45" t="s">
        <v>24</v>
      </c>
      <c r="C12" s="4">
        <v>3.2</v>
      </c>
      <c r="D12" s="4">
        <v>1</v>
      </c>
      <c r="E12" s="32" t="s">
        <v>58</v>
      </c>
    </row>
    <row r="13" spans="1:33" ht="132" x14ac:dyDescent="0.3">
      <c r="A13" s="18">
        <v>4.0999999999999996</v>
      </c>
      <c r="B13" s="19" t="s">
        <v>25</v>
      </c>
      <c r="C13" s="19">
        <v>1.3</v>
      </c>
      <c r="D13" s="19">
        <v>1</v>
      </c>
      <c r="E13" s="33" t="s">
        <v>41</v>
      </c>
      <c r="V13"/>
    </row>
    <row r="14" spans="1:33" ht="132" x14ac:dyDescent="0.3">
      <c r="A14" s="12">
        <v>4.2</v>
      </c>
      <c r="B14" s="31" t="s">
        <v>26</v>
      </c>
      <c r="C14" s="4" t="s">
        <v>36</v>
      </c>
      <c r="D14" s="4">
        <v>4</v>
      </c>
      <c r="E14" s="32" t="s">
        <v>28</v>
      </c>
    </row>
    <row r="15" spans="1:33" ht="66" x14ac:dyDescent="0.3">
      <c r="A15" s="22">
        <v>4.3</v>
      </c>
      <c r="B15" s="46" t="s">
        <v>53</v>
      </c>
      <c r="C15" s="6" t="s">
        <v>35</v>
      </c>
      <c r="D15" s="6">
        <v>2</v>
      </c>
      <c r="E15" s="34" t="s">
        <v>45</v>
      </c>
      <c r="AG15"/>
    </row>
    <row r="16" spans="1:33" ht="115.5" x14ac:dyDescent="0.3">
      <c r="A16" s="28">
        <v>5.0999999999999996</v>
      </c>
      <c r="B16" s="19" t="s">
        <v>47</v>
      </c>
      <c r="C16" s="19">
        <v>3.3</v>
      </c>
      <c r="D16" s="19">
        <v>2</v>
      </c>
      <c r="E16" s="33" t="s">
        <v>115</v>
      </c>
    </row>
    <row r="17" spans="1:5" ht="82.5" x14ac:dyDescent="0.3">
      <c r="A17" s="11">
        <v>5.2</v>
      </c>
      <c r="B17" s="4" t="s">
        <v>30</v>
      </c>
      <c r="C17" s="4">
        <v>5.0999999999999996</v>
      </c>
      <c r="D17" s="4">
        <v>4</v>
      </c>
      <c r="E17" s="42" t="s">
        <v>59</v>
      </c>
    </row>
    <row r="18" spans="1:5" ht="49.5" x14ac:dyDescent="0.3">
      <c r="A18" s="18">
        <v>6.1</v>
      </c>
      <c r="B18" s="39" t="s">
        <v>37</v>
      </c>
      <c r="C18" s="69" t="s">
        <v>118</v>
      </c>
      <c r="D18" s="19">
        <v>24</v>
      </c>
      <c r="E18" s="43" t="s">
        <v>60</v>
      </c>
    </row>
    <row r="19" spans="1:5" ht="49.5" x14ac:dyDescent="0.3">
      <c r="A19" s="12">
        <v>6.2</v>
      </c>
      <c r="B19" s="4" t="s">
        <v>38</v>
      </c>
      <c r="C19" s="4">
        <v>6.1</v>
      </c>
      <c r="D19" s="4">
        <v>4</v>
      </c>
      <c r="E19" s="44" t="s">
        <v>50</v>
      </c>
    </row>
    <row r="20" spans="1:5" ht="49.5" x14ac:dyDescent="0.3">
      <c r="A20" s="12">
        <v>6.3</v>
      </c>
      <c r="B20" s="4" t="s">
        <v>27</v>
      </c>
      <c r="C20" s="4">
        <v>6.2</v>
      </c>
      <c r="D20" s="4">
        <v>12</v>
      </c>
      <c r="E20" s="44" t="s">
        <v>51</v>
      </c>
    </row>
    <row r="21" spans="1:5" ht="50.25" thickBot="1" x14ac:dyDescent="0.35">
      <c r="A21" s="13">
        <v>6.4</v>
      </c>
      <c r="B21" s="14" t="s">
        <v>39</v>
      </c>
      <c r="C21" s="14">
        <v>6.3</v>
      </c>
      <c r="D21" s="14">
        <v>52</v>
      </c>
      <c r="E21" s="35" t="s">
        <v>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F794-3179-46CB-AEF7-8EAC5F0907BD}">
  <dimension ref="A1:P23"/>
  <sheetViews>
    <sheetView workbookViewId="0">
      <selection activeCell="C16" sqref="C16"/>
    </sheetView>
  </sheetViews>
  <sheetFormatPr defaultColWidth="9.140625" defaultRowHeight="15" x14ac:dyDescent="0.25"/>
  <cols>
    <col min="1" max="6" width="19" customWidth="1"/>
    <col min="7" max="7" width="18.85546875" customWidth="1"/>
    <col min="8" max="8" width="14.7109375" customWidth="1"/>
    <col min="10" max="10" width="33.5703125" customWidth="1"/>
    <col min="14" max="14" width="30.85546875" customWidth="1"/>
    <col min="16" max="16" width="18.42578125" customWidth="1"/>
  </cols>
  <sheetData>
    <row r="1" spans="1:16" ht="32.25" customHeight="1" thickBot="1" x14ac:dyDescent="0.3">
      <c r="A1" s="49" t="s">
        <v>61</v>
      </c>
    </row>
    <row r="2" spans="1:16" ht="32.25" customHeight="1" thickBot="1" x14ac:dyDescent="0.3">
      <c r="A2" s="23" t="s">
        <v>11</v>
      </c>
      <c r="B2" s="23" t="s">
        <v>12</v>
      </c>
      <c r="C2" s="23" t="s">
        <v>13</v>
      </c>
      <c r="D2" s="23" t="s">
        <v>14</v>
      </c>
      <c r="E2" s="23" t="s">
        <v>15</v>
      </c>
      <c r="F2" s="23" t="s">
        <v>16</v>
      </c>
    </row>
    <row r="3" spans="1:16" ht="32.25" customHeight="1" thickBot="1" x14ac:dyDescent="0.3">
      <c r="A3" s="24" t="s">
        <v>17</v>
      </c>
      <c r="B3" s="50">
        <v>-138248</v>
      </c>
      <c r="C3" s="51">
        <v>0</v>
      </c>
      <c r="D3" s="51">
        <v>0</v>
      </c>
      <c r="E3" s="51">
        <v>0</v>
      </c>
      <c r="F3" s="51">
        <v>0</v>
      </c>
    </row>
    <row r="4" spans="1:16" ht="32.25" customHeight="1" thickBot="1" x14ac:dyDescent="0.3">
      <c r="A4" s="25" t="s">
        <v>18</v>
      </c>
      <c r="B4" s="52">
        <v>-211720.39</v>
      </c>
      <c r="C4" s="52">
        <v>-211720.39</v>
      </c>
      <c r="D4" s="52">
        <v>-211720.39</v>
      </c>
      <c r="E4" s="52">
        <v>-211720.39</v>
      </c>
      <c r="F4" s="52">
        <v>-211720.39</v>
      </c>
    </row>
    <row r="5" spans="1:16" ht="32.25" customHeight="1" thickBot="1" x14ac:dyDescent="0.3">
      <c r="A5" s="26" t="s">
        <v>19</v>
      </c>
      <c r="B5" s="53">
        <v>0</v>
      </c>
      <c r="C5" s="54">
        <v>763113.53</v>
      </c>
      <c r="D5" s="54">
        <v>763113.53</v>
      </c>
      <c r="E5" s="54">
        <v>763113.53</v>
      </c>
      <c r="F5" s="54">
        <v>763113.53</v>
      </c>
    </row>
    <row r="6" spans="1:16" ht="32.25" thickBot="1" x14ac:dyDescent="0.3">
      <c r="A6" s="24" t="s">
        <v>20</v>
      </c>
      <c r="B6" s="50">
        <v>-349968.39</v>
      </c>
      <c r="C6" s="50">
        <v>551393.14</v>
      </c>
      <c r="D6" s="50">
        <v>551393.14</v>
      </c>
      <c r="E6" s="50">
        <v>551393.14</v>
      </c>
      <c r="F6" s="50">
        <v>551393.14</v>
      </c>
    </row>
    <row r="8" spans="1:16" x14ac:dyDescent="0.25">
      <c r="C8" s="55" t="s">
        <v>62</v>
      </c>
      <c r="D8" s="55"/>
      <c r="E8" s="55"/>
      <c r="F8" s="55"/>
      <c r="G8" s="55"/>
      <c r="J8" t="s">
        <v>63</v>
      </c>
      <c r="N8" t="s">
        <v>64</v>
      </c>
    </row>
    <row r="9" spans="1:16" x14ac:dyDescent="0.25">
      <c r="A9" s="56"/>
      <c r="B9" s="57" t="s">
        <v>65</v>
      </c>
      <c r="C9" s="57">
        <v>1</v>
      </c>
      <c r="D9" s="57">
        <v>2</v>
      </c>
      <c r="E9" s="57">
        <v>3</v>
      </c>
      <c r="F9" s="57">
        <v>4</v>
      </c>
      <c r="G9" s="57">
        <v>5</v>
      </c>
      <c r="J9" t="s">
        <v>66</v>
      </c>
      <c r="K9">
        <v>323</v>
      </c>
      <c r="L9" t="s">
        <v>67</v>
      </c>
      <c r="N9" t="s">
        <v>68</v>
      </c>
      <c r="O9">
        <v>100</v>
      </c>
      <c r="P9" t="s">
        <v>69</v>
      </c>
    </row>
    <row r="10" spans="1:16" x14ac:dyDescent="0.25">
      <c r="A10" s="58" t="s">
        <v>70</v>
      </c>
      <c r="B10" s="59" t="s">
        <v>71</v>
      </c>
      <c r="C10" s="60">
        <f>-O9*K9</f>
        <v>-32300</v>
      </c>
      <c r="D10" s="60">
        <v>0</v>
      </c>
      <c r="E10" s="60">
        <v>0</v>
      </c>
      <c r="F10" s="60">
        <v>0</v>
      </c>
      <c r="G10" s="60">
        <v>0</v>
      </c>
      <c r="J10" t="s">
        <v>72</v>
      </c>
      <c r="K10">
        <v>3431.6</v>
      </c>
      <c r="L10" t="s">
        <v>73</v>
      </c>
      <c r="N10" t="s">
        <v>74</v>
      </c>
      <c r="O10">
        <v>30</v>
      </c>
      <c r="P10" t="s">
        <v>75</v>
      </c>
    </row>
    <row r="11" spans="1:16" x14ac:dyDescent="0.25">
      <c r="A11" s="59"/>
      <c r="B11" s="59" t="s">
        <v>76</v>
      </c>
      <c r="C11" s="60">
        <f>-O10*K10</f>
        <v>-102948</v>
      </c>
      <c r="D11" s="60">
        <v>0</v>
      </c>
      <c r="E11" s="60">
        <v>0</v>
      </c>
      <c r="F11" s="60">
        <v>0</v>
      </c>
      <c r="G11" s="60">
        <v>0</v>
      </c>
      <c r="J11" t="s">
        <v>77</v>
      </c>
      <c r="K11">
        <v>149.53700000000001</v>
      </c>
      <c r="L11" t="s">
        <v>78</v>
      </c>
      <c r="N11" t="s">
        <v>79</v>
      </c>
      <c r="O11">
        <v>35.875</v>
      </c>
      <c r="P11" t="s">
        <v>78</v>
      </c>
    </row>
    <row r="12" spans="1:16" x14ac:dyDescent="0.25">
      <c r="A12" s="59"/>
      <c r="B12" s="59" t="s">
        <v>80</v>
      </c>
      <c r="C12" s="60">
        <f>-K12*O12</f>
        <v>-3000</v>
      </c>
      <c r="D12" s="60">
        <v>0</v>
      </c>
      <c r="E12" s="60">
        <v>0</v>
      </c>
      <c r="F12" s="60">
        <v>0</v>
      </c>
      <c r="G12" s="60">
        <v>0</v>
      </c>
      <c r="J12" t="s">
        <v>81</v>
      </c>
      <c r="K12">
        <f>_xlfn.CEILING.MATH(K11/O11)</f>
        <v>5</v>
      </c>
      <c r="L12" t="s">
        <v>67</v>
      </c>
      <c r="N12" t="s">
        <v>82</v>
      </c>
      <c r="O12">
        <v>600</v>
      </c>
      <c r="P12" t="s">
        <v>83</v>
      </c>
    </row>
    <row r="13" spans="1:16" x14ac:dyDescent="0.25">
      <c r="A13" s="59"/>
      <c r="B13" s="59"/>
      <c r="C13" s="60"/>
      <c r="D13" s="60"/>
      <c r="E13" s="60"/>
      <c r="F13" s="60"/>
      <c r="G13" s="60"/>
      <c r="J13" t="s">
        <v>84</v>
      </c>
      <c r="K13">
        <v>10000</v>
      </c>
      <c r="L13" t="s">
        <v>85</v>
      </c>
      <c r="N13" t="s">
        <v>86</v>
      </c>
      <c r="O13">
        <v>200</v>
      </c>
      <c r="P13" t="s">
        <v>69</v>
      </c>
    </row>
    <row r="14" spans="1:16" x14ac:dyDescent="0.25">
      <c r="A14" s="61" t="s">
        <v>87</v>
      </c>
      <c r="B14" s="62" t="s">
        <v>88</v>
      </c>
      <c r="C14" s="63">
        <f>-K9*O13</f>
        <v>-64600</v>
      </c>
      <c r="D14" s="63">
        <f>-K9*O13</f>
        <v>-64600</v>
      </c>
      <c r="E14" s="63">
        <f>-K9*O13</f>
        <v>-64600</v>
      </c>
      <c r="F14" s="63">
        <f>-K9*O13</f>
        <v>-64600</v>
      </c>
      <c r="G14" s="63">
        <f>-K9*O13</f>
        <v>-64600</v>
      </c>
      <c r="J14" t="s">
        <v>89</v>
      </c>
      <c r="K14">
        <v>276753</v>
      </c>
      <c r="L14" t="s">
        <v>85</v>
      </c>
      <c r="N14" t="s">
        <v>90</v>
      </c>
      <c r="O14">
        <v>35</v>
      </c>
      <c r="P14" t="s">
        <v>91</v>
      </c>
    </row>
    <row r="15" spans="1:16" x14ac:dyDescent="0.25">
      <c r="A15" s="62"/>
      <c r="B15" s="62" t="s">
        <v>92</v>
      </c>
      <c r="C15" s="63">
        <f>-(K16+K17+K18)/3</f>
        <v>-98391.666666666672</v>
      </c>
      <c r="D15" s="63">
        <f>-(K16+K17+K18)/3</f>
        <v>-98391.666666666672</v>
      </c>
      <c r="E15" s="63">
        <f>-(K16+K17+K18)/3</f>
        <v>-98391.666666666672</v>
      </c>
      <c r="F15" s="63">
        <f>-(K16+K17+K18)/3</f>
        <v>-98391.666666666672</v>
      </c>
      <c r="G15" s="63">
        <f>-(K16+K17+K18)/3</f>
        <v>-98391.666666666672</v>
      </c>
      <c r="J15" t="s">
        <v>93</v>
      </c>
      <c r="K15">
        <v>0.2</v>
      </c>
      <c r="L15" t="s">
        <v>94</v>
      </c>
      <c r="N15" t="s">
        <v>95</v>
      </c>
      <c r="O15">
        <v>0.1</v>
      </c>
      <c r="P15" t="s">
        <v>94</v>
      </c>
    </row>
    <row r="16" spans="1:16" x14ac:dyDescent="0.25">
      <c r="A16" s="62"/>
      <c r="B16" s="62" t="s">
        <v>96</v>
      </c>
      <c r="C16" s="63">
        <f>-K10*O17*O18</f>
        <v>-48728.719999999994</v>
      </c>
      <c r="D16" s="63">
        <f>-K10*O17*O18</f>
        <v>-48728.719999999994</v>
      </c>
      <c r="E16" s="63">
        <f>-K10*O17*O18</f>
        <v>-48728.719999999994</v>
      </c>
      <c r="F16" s="63">
        <f>-K10*O17*O18</f>
        <v>-48728.719999999994</v>
      </c>
      <c r="G16" s="63">
        <f>-K10*O17*O18</f>
        <v>-48728.719999999994</v>
      </c>
      <c r="J16" t="s">
        <v>97</v>
      </c>
      <c r="K16">
        <v>127224</v>
      </c>
      <c r="L16" t="s">
        <v>98</v>
      </c>
      <c r="N16" t="s">
        <v>99</v>
      </c>
      <c r="O16">
        <v>0.01</v>
      </c>
      <c r="P16" t="s">
        <v>100</v>
      </c>
    </row>
    <row r="17" spans="1:16" x14ac:dyDescent="0.25">
      <c r="A17" s="62"/>
      <c r="B17" s="62"/>
      <c r="C17" s="63"/>
      <c r="D17" s="63"/>
      <c r="E17" s="63"/>
      <c r="F17" s="63"/>
      <c r="G17" s="63"/>
      <c r="J17" t="s">
        <v>101</v>
      </c>
      <c r="K17">
        <v>90883</v>
      </c>
      <c r="L17" t="s">
        <v>98</v>
      </c>
      <c r="N17" t="s">
        <v>102</v>
      </c>
      <c r="O17">
        <v>100</v>
      </c>
      <c r="P17" t="s">
        <v>103</v>
      </c>
    </row>
    <row r="18" spans="1:16" x14ac:dyDescent="0.25">
      <c r="A18" s="64" t="s">
        <v>104</v>
      </c>
      <c r="B18" s="65" t="s">
        <v>105</v>
      </c>
      <c r="C18" s="66">
        <v>0</v>
      </c>
      <c r="D18" s="66">
        <f>O14*5*8*365</f>
        <v>511000</v>
      </c>
      <c r="E18" s="66">
        <f>O14*5*8*365</f>
        <v>511000</v>
      </c>
      <c r="F18" s="66">
        <f>O14*5*8*365</f>
        <v>511000</v>
      </c>
      <c r="G18" s="66">
        <f>O14*5*8*365</f>
        <v>511000</v>
      </c>
      <c r="J18" t="s">
        <v>106</v>
      </c>
      <c r="K18">
        <v>77068</v>
      </c>
      <c r="L18" t="s">
        <v>98</v>
      </c>
      <c r="N18" t="s">
        <v>107</v>
      </c>
      <c r="O18">
        <v>0.14199999999999999</v>
      </c>
      <c r="P18" t="s">
        <v>108</v>
      </c>
    </row>
    <row r="19" spans="1:16" x14ac:dyDescent="0.25">
      <c r="A19" s="65"/>
      <c r="B19" s="65" t="s">
        <v>109</v>
      </c>
      <c r="C19" s="66">
        <v>0</v>
      </c>
      <c r="D19" s="66">
        <f>O14*365*24*(1-0.99)</f>
        <v>3066.0000000000027</v>
      </c>
      <c r="E19" s="66">
        <f>O14*365*24*(1-0.99)</f>
        <v>3066.0000000000027</v>
      </c>
      <c r="F19" s="66">
        <f>O14*365*24*(1-0.99)</f>
        <v>3066.0000000000027</v>
      </c>
      <c r="G19" s="66">
        <f>O14*365*24*(1-0.99)</f>
        <v>3066.0000000000027</v>
      </c>
    </row>
    <row r="20" spans="1:16" x14ac:dyDescent="0.25">
      <c r="A20" s="65"/>
      <c r="B20" s="65" t="s">
        <v>110</v>
      </c>
      <c r="C20" s="66">
        <v>0</v>
      </c>
      <c r="D20" s="66">
        <f>K13*O15</f>
        <v>1000</v>
      </c>
      <c r="E20" s="66">
        <f>K13*O15</f>
        <v>1000</v>
      </c>
      <c r="F20" s="66">
        <f>K13*O15</f>
        <v>1000</v>
      </c>
      <c r="G20" s="66">
        <f>K13*O15</f>
        <v>1000</v>
      </c>
    </row>
    <row r="21" spans="1:16" x14ac:dyDescent="0.25">
      <c r="A21" s="65"/>
      <c r="B21" s="65" t="s">
        <v>111</v>
      </c>
      <c r="C21" s="66">
        <v>0</v>
      </c>
      <c r="D21" s="66">
        <f>K14*O16</f>
        <v>2767.53</v>
      </c>
      <c r="E21" s="66">
        <f>K14*O16</f>
        <v>2767.53</v>
      </c>
      <c r="F21" s="66">
        <f>K14*O16</f>
        <v>2767.53</v>
      </c>
      <c r="G21" s="66">
        <f>K14*O16</f>
        <v>2767.53</v>
      </c>
    </row>
    <row r="22" spans="1:16" x14ac:dyDescent="0.25">
      <c r="A22" s="65"/>
      <c r="B22" s="65" t="s">
        <v>112</v>
      </c>
      <c r="C22" s="66">
        <v>0</v>
      </c>
      <c r="D22" s="66">
        <f>(1-K15)*O14*24*365</f>
        <v>245280</v>
      </c>
      <c r="E22" s="66">
        <f>(1-K15)*O14*24*365</f>
        <v>245280</v>
      </c>
      <c r="F22" s="66">
        <f>(1-K15)*O14*24*365</f>
        <v>245280</v>
      </c>
      <c r="G22" s="66">
        <f>(1-K15)*O14*24*365</f>
        <v>245280</v>
      </c>
      <c r="H22" s="67" t="s">
        <v>113</v>
      </c>
    </row>
    <row r="23" spans="1:16" x14ac:dyDescent="0.25">
      <c r="A23" s="67" t="s">
        <v>114</v>
      </c>
      <c r="C23" s="68">
        <f>SUM(C10:C22)</f>
        <v>-349968.38666666666</v>
      </c>
      <c r="D23" s="68">
        <f>SUM(D10:D22)</f>
        <v>551393.14333333331</v>
      </c>
      <c r="E23" s="68">
        <f>SUM(E10:E22)</f>
        <v>551393.14333333331</v>
      </c>
      <c r="F23" s="68">
        <f>SUM(F10:F22)</f>
        <v>551393.14333333331</v>
      </c>
      <c r="G23" s="68">
        <f>SUM(G10:G22)</f>
        <v>551393.14333333331</v>
      </c>
      <c r="H23" s="68">
        <f>SUM(C23:G23)</f>
        <v>1855604.1866666665</v>
      </c>
    </row>
  </sheetData>
  <mergeCells count="1">
    <mergeCell ref="C8:G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4F81B2-B05F-4084-B6A5-4046F4643C6F}">
  <ds:schemaRefs>
    <ds:schemaRef ds:uri="http://schemas.microsoft.com/office/2006/metadata/contentType"/>
    <ds:schemaRef ds:uri="http://schemas.microsoft.com/office/2006/metadata/properties/metaAttributes"/>
    <ds:schemaRef ds:uri="http://www.w3.org/2000/xmlns/"/>
    <ds:schemaRef ds:uri="http://www.w3.org/2001/XMLSchema"/>
    <ds:schemaRef ds:uri="006c7cb9-3c36-40e5-a5d9-86e0029a058a"/>
    <ds:schemaRef ds:uri="a5db53bf-fe91-4cb9-a657-3e0c4c7ee7a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84ACC-DA9A-4247-AE1C-E58398DBCEA2}">
  <ds:schemaRefs>
    <ds:schemaRef ds:uri="http://schemas.microsoft.com/sharepoint/v3/contenttype/forms"/>
  </ds:schemaRefs>
</ds:datastoreItem>
</file>

<file path=customXml/itemProps3.xml><?xml version="1.0" encoding="utf-8"?>
<ds:datastoreItem xmlns:ds="http://schemas.openxmlformats.org/officeDocument/2006/customXml" ds:itemID="{CE7F2A09-83EE-4733-8E40-17142DEC7D65}">
  <ds:schemaRefs>
    <ds:schemaRef ds:uri="http://schemas.microsoft.com/office/2006/metadata/properties"/>
    <ds:schemaRef ds:uri="http://www.w3.org/2000/xmlns/"/>
    <ds:schemaRef ds:uri="006c7cb9-3c36-40e5-a5d9-86e0029a058a"/>
    <ds:schemaRef ds:uri="http://www.w3.org/2001/XMLSchema-instance"/>
    <ds:schemaRef ds:uri="a5db53bf-fe91-4cb9-a657-3e0c4c7ee7a0"/>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Critical Path Method</vt:lpstr>
      <vt:lpstr>Cost Benefit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Jacob Brodersen</cp:lastModifiedBy>
  <cp:revision/>
  <dcterms:created xsi:type="dcterms:W3CDTF">2025-09-09T15:24:59Z</dcterms:created>
  <dcterms:modified xsi:type="dcterms:W3CDTF">2026-01-29T20:52:15Z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