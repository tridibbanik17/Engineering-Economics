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imaad\Downloads\"/>
    </mc:Choice>
  </mc:AlternateContent>
  <xr:revisionPtr revIDLastSave="0" documentId="8_{D2319C58-E56B-436B-AF13-2971D445180A}" xr6:coauthVersionLast="47" xr6:coauthVersionMax="47" xr10:uidLastSave="{00000000-0000-0000-0000-000000000000}"/>
  <bookViews>
    <workbookView xWindow="-120" yWindow="-120" windowWidth="29040" windowHeight="15720" xr2:uid="{E99E4954-1860-45AE-8C12-305EB8799F32}"/>
  </bookViews>
  <sheets>
    <sheet name="Design Parameters" sheetId="1" r:id="rId1"/>
    <sheet name="Costs and Benefits Estimation" sheetId="2" r:id="rId2"/>
    <sheet name="Cost and Benefits Cash Flow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G15" i="4"/>
  <c r="F15" i="4"/>
  <c r="E15" i="4"/>
  <c r="C15" i="4"/>
  <c r="H15" i="4" s="1"/>
</calcChain>
</file>

<file path=xl/sharedStrings.xml><?xml version="1.0" encoding="utf-8"?>
<sst xmlns="http://schemas.openxmlformats.org/spreadsheetml/2006/main" count="130" uniqueCount="114">
  <si>
    <t>Design Parameter</t>
  </si>
  <si>
    <t>Value</t>
  </si>
  <si>
    <t>Unit</t>
  </si>
  <si>
    <t>Calculations</t>
  </si>
  <si>
    <t>Number of security cameras (160 units)</t>
  </si>
  <si>
    <t>W</t>
  </si>
  <si>
    <t>Manufacturer average for energy-efficient PoE security cameras</t>
  </si>
  <si>
    <t>Motion detector density (300 units)</t>
  </si>
  <si>
    <t>Typical low-power PIR motion sensor rating</t>
  </si>
  <si>
    <t>Biometric access points (45 scanners)</t>
  </si>
  <si>
    <t>Average operational power draw per scanner</t>
  </si>
  <si>
    <t>Annual energy consumption</t>
  </si>
  <si>
    <t>kWh/year</t>
  </si>
  <si>
    <t>4.0 kW × 8,760 h/year</t>
  </si>
  <si>
    <t>AI server processing capacity (2.5 kW)</t>
  </si>
  <si>
    <t>Hours/year</t>
  </si>
  <si>
    <t>24 hours/day × 365 days/year</t>
  </si>
  <si>
    <t>Design Parameter and Cost/Benefit Driver Mapping</t>
  </si>
  <si>
    <t>Cost Driver(s)</t>
  </si>
  <si>
    <t>Benefit Driver(s)</t>
  </si>
  <si>
    <t>Camera procurement cost, installation labor, power consumption</t>
  </si>
  <si>
    <t>Increased surveillance coverage, reduced blind spots</t>
  </si>
  <si>
    <t>Sensor hardware cost, wiring and installation</t>
  </si>
  <si>
    <t>Energy-efficient monitoring, reduced unnecessary recording</t>
  </si>
  <si>
    <t>Scanner equipment cost, maintenance requirements</t>
  </si>
  <si>
    <t>Improved access control, reduced unauthorized entry</t>
  </si>
  <si>
    <t>Server hardware cost, electricity consumption</t>
  </si>
  <si>
    <t>Faster threat detection, reduced response time</t>
  </si>
  <si>
    <t>Continuous operation (24/7)</t>
  </si>
  <si>
    <t>Annual electricity use, maintenance intensity</t>
  </si>
  <si>
    <t>High system reliability and security uptime</t>
  </si>
  <si>
    <t>Cost Estimation Table</t>
  </si>
  <si>
    <t>Cost Driver</t>
  </si>
  <si>
    <t>Cost Item</t>
  </si>
  <si>
    <t>Cost Type</t>
  </si>
  <si>
    <t>Direct / Indirect</t>
  </si>
  <si>
    <t>Estimation Method</t>
  </si>
  <si>
    <t>Estimated Value</t>
  </si>
  <si>
    <t>Number of cameras</t>
  </si>
  <si>
    <t>Security camera(160)</t>
  </si>
  <si>
    <t>Fixed</t>
  </si>
  <si>
    <t xml:space="preserve">Direct </t>
  </si>
  <si>
    <t>600 per camera</t>
  </si>
  <si>
    <t>Sensor density</t>
  </si>
  <si>
    <t>Motion detectors(300)</t>
  </si>
  <si>
    <t>60 per sensor</t>
  </si>
  <si>
    <t>Biometric access points</t>
  </si>
  <si>
    <t>Biometric scanners (45 units)</t>
  </si>
  <si>
    <t>Direct</t>
  </si>
  <si>
    <t>1500 per unit</t>
  </si>
  <si>
    <t>AI processing capacity</t>
  </si>
  <si>
    <t>AI servers and storage</t>
  </si>
  <si>
    <t>Three-point estimate (PERT)</t>
  </si>
  <si>
    <t>Continuous operation</t>
  </si>
  <si>
    <t>Electricity consumption (annual)</t>
  </si>
  <si>
    <t>Variable</t>
  </si>
  <si>
    <t>Power-based calculation</t>
  </si>
  <si>
    <t>System scale</t>
  </si>
  <si>
    <t>Installation &amp; commissioning</t>
  </si>
  <si>
    <t>20% of equipment cost</t>
  </si>
  <si>
    <t>Benefits Estimation Table</t>
  </si>
  <si>
    <t>Benefit Driver</t>
  </si>
  <si>
    <t>Specific Benefit</t>
  </si>
  <si>
    <t>How it’s monetized (conversion method)</t>
  </si>
  <si>
    <t>Estimation</t>
  </si>
  <si>
    <t>Monetized Benefit</t>
  </si>
  <si>
    <t>Energy efficiency</t>
  </si>
  <si>
    <t>Reduced electricity consumption</t>
  </si>
  <si>
    <t>kWh saved × electricity rate</t>
  </si>
  <si>
    <t>17,520 kWh × $0.13/kWh</t>
  </si>
  <si>
    <t>$2,278 / yr</t>
  </si>
  <si>
    <t>Reduced emissions</t>
  </si>
  <si>
    <t>CO₂ emissions avoided</t>
  </si>
  <si>
    <t>Carbon price × tonnes CO₂</t>
  </si>
  <si>
    <t>0.70 t × $65/</t>
  </si>
  <si>
    <t>$46 / yr</t>
  </si>
  <si>
    <t>Improved security</t>
  </si>
  <si>
    <t>Avoided security incidents</t>
  </si>
  <si>
    <t>Cost per incident avoided</t>
  </si>
  <si>
    <t>1 incident × $25,000</t>
  </si>
  <si>
    <t>$25,000 / yr</t>
  </si>
  <si>
    <t xml:space="preserve">Faster response time
</t>
  </si>
  <si>
    <t>Reduced downtime</t>
  </si>
  <si>
    <t>Downtime cost per hour</t>
  </si>
  <si>
    <t>4 hrs × $3,000/hr</t>
  </si>
  <si>
    <t>$12,000 / yr</t>
  </si>
  <si>
    <t>Annual Cash Flow</t>
  </si>
  <si>
    <t>Category</t>
  </si>
  <si>
    <t>Year 1</t>
  </si>
  <si>
    <t>Year 2</t>
  </si>
  <si>
    <t>Year 3</t>
  </si>
  <si>
    <t>Year 4</t>
  </si>
  <si>
    <t>Year 5</t>
  </si>
  <si>
    <t>Capital Costs (CapEx)</t>
  </si>
  <si>
    <t>Operating Costs (OpEx)</t>
  </si>
  <si>
    <t>Benefits (Monetized)</t>
  </si>
  <si>
    <t>Net Cash Flow (Total)</t>
  </si>
  <si>
    <t>Year</t>
  </si>
  <si>
    <t>Item</t>
  </si>
  <si>
    <t>CapEx</t>
  </si>
  <si>
    <t>Cameras</t>
  </si>
  <si>
    <t>Sensors</t>
  </si>
  <si>
    <t>Biometric scanners</t>
  </si>
  <si>
    <t>Installation</t>
  </si>
  <si>
    <t>OpEx</t>
  </si>
  <si>
    <t>Electicity</t>
  </si>
  <si>
    <t>Maintenance and servers</t>
  </si>
  <si>
    <t>Overhead allocation</t>
  </si>
  <si>
    <t>Benefits</t>
  </si>
  <si>
    <t>Energy savings</t>
  </si>
  <si>
    <t>Avoided incidents</t>
  </si>
  <si>
    <t>Reduced falsealarms</t>
  </si>
  <si>
    <t>Total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</si>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</sst>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;[Red]\-&quot;$&quot;#,##0"/>
  </numFmts>
  <fonts count="16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rgb="FFEE0000"/>
      <name val="Arial Narrow"/>
      <family val="2"/>
    </font>
    <font>
      <sz val="12"/>
      <color rgb="FFEE0000"/>
      <name val="Arial Narrow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Arial Narrow"/>
      <charset val="1"/>
    </font>
    <font>
      <sz val="13.5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0" borderId="3" xfId="0" applyBorder="1"/>
    <xf numFmtId="0" fontId="4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6" xfId="0" applyFont="1" applyFill="1" applyBorder="1" applyAlignment="1">
      <alignment horizontal="justify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164" fontId="7" fillId="0" borderId="7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64" fontId="7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3" borderId="6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12" fillId="4" borderId="3" xfId="0" applyFont="1" applyFill="1" applyBorder="1"/>
    <xf numFmtId="0" fontId="12" fillId="5" borderId="3" xfId="0" applyFont="1" applyFill="1" applyBorder="1"/>
    <xf numFmtId="0" fontId="12" fillId="6" borderId="3" xfId="0" applyFont="1" applyFill="1" applyBorder="1"/>
    <xf numFmtId="0" fontId="12" fillId="0" borderId="3" xfId="0" applyFont="1" applyBorder="1"/>
    <xf numFmtId="0" fontId="12" fillId="0" borderId="0" xfId="0" applyFont="1"/>
    <xf numFmtId="6" fontId="7" fillId="0" borderId="0" xfId="0" applyNumberFormat="1" applyFont="1" applyAlignment="1">
      <alignment horizontal="left" vertical="center" wrapText="1"/>
    </xf>
    <xf numFmtId="6" fontId="7" fillId="0" borderId="6" xfId="0" applyNumberFormat="1" applyFont="1" applyBorder="1" applyAlignment="1">
      <alignment horizontal="justify" vertical="center" wrapText="1"/>
    </xf>
    <xf numFmtId="6" fontId="7" fillId="0" borderId="7" xfId="0" applyNumberFormat="1" applyFont="1" applyBorder="1" applyAlignment="1">
      <alignment horizontal="justify" vertical="center" wrapText="1"/>
    </xf>
    <xf numFmtId="6" fontId="10" fillId="0" borderId="7" xfId="0" applyNumberFormat="1" applyFont="1" applyBorder="1" applyAlignment="1">
      <alignment horizontal="left" vertical="center" wrapText="1"/>
    </xf>
    <xf numFmtId="6" fontId="11" fillId="0" borderId="0" xfId="0" applyNumberFormat="1" applyFont="1" applyAlignment="1">
      <alignment horizontal="left" vertical="center" wrapText="1"/>
    </xf>
    <xf numFmtId="3" fontId="10" fillId="0" borderId="7" xfId="0" applyNumberFormat="1" applyFont="1" applyBorder="1" applyAlignment="1">
      <alignment horizontal="left" vertical="center" wrapText="1"/>
    </xf>
    <xf numFmtId="6" fontId="13" fillId="0" borderId="0" xfId="0" applyNumberFormat="1" applyFont="1"/>
    <xf numFmtId="3" fontId="0" fillId="4" borderId="3" xfId="0" applyNumberFormat="1" applyFill="1" applyBorder="1"/>
    <xf numFmtId="3" fontId="0" fillId="5" borderId="3" xfId="0" applyNumberFormat="1" applyFill="1" applyBorder="1"/>
    <xf numFmtId="0" fontId="14" fillId="0" borderId="0" xfId="0" applyFont="1"/>
    <xf numFmtId="3" fontId="0" fillId="6" borderId="3" xfId="0" applyNumberFormat="1" applyFill="1" applyBorder="1"/>
    <xf numFmtId="0" fontId="15" fillId="0" borderId="0" xfId="0" applyFont="1"/>
    <xf numFmtId="3" fontId="0" fillId="0" borderId="3" xfId="0" applyNumberFormat="1" applyBorder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89B8-ECE4-497F-8805-EE843CFD2CFA}">
  <dimension ref="A1:D6"/>
  <sheetViews>
    <sheetView tabSelected="1" workbookViewId="0">
      <selection activeCell="A14" sqref="A14"/>
    </sheetView>
  </sheetViews>
  <sheetFormatPr defaultRowHeight="15"/>
  <cols>
    <col min="1" max="1" width="30.7109375" customWidth="1"/>
    <col min="4" max="4" width="55.85546875" customWidth="1"/>
  </cols>
  <sheetData>
    <row r="1" spans="1:4" ht="16.5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7" t="s">
        <v>4</v>
      </c>
      <c r="B2" s="6">
        <v>6</v>
      </c>
      <c r="C2" s="6" t="s">
        <v>5</v>
      </c>
      <c r="D2" s="57" t="s">
        <v>6</v>
      </c>
    </row>
    <row r="3" spans="1:4" ht="33">
      <c r="A3" s="5" t="s">
        <v>7</v>
      </c>
      <c r="B3" s="4">
        <v>0.5</v>
      </c>
      <c r="C3" s="4" t="s">
        <v>5</v>
      </c>
      <c r="D3" s="4" t="s">
        <v>8</v>
      </c>
    </row>
    <row r="4" spans="1:4" ht="33">
      <c r="A4" s="5" t="s">
        <v>9</v>
      </c>
      <c r="B4" s="4">
        <v>8</v>
      </c>
      <c r="C4" s="4" t="s">
        <v>5</v>
      </c>
      <c r="D4" s="4" t="s">
        <v>10</v>
      </c>
    </row>
    <row r="5" spans="1:4" ht="16.5">
      <c r="A5" s="5" t="s">
        <v>11</v>
      </c>
      <c r="B5" s="58">
        <v>35040</v>
      </c>
      <c r="C5" s="4" t="s">
        <v>12</v>
      </c>
      <c r="D5" s="4" t="s">
        <v>13</v>
      </c>
    </row>
    <row r="6" spans="1:4" ht="33">
      <c r="A6" s="5" t="s">
        <v>14</v>
      </c>
      <c r="B6" s="58">
        <v>8750</v>
      </c>
      <c r="C6" s="4" t="s">
        <v>15</v>
      </c>
      <c r="D6" s="5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8C1-06DA-4FD0-A30A-99C95DAA62CB}">
  <dimension ref="A1:F32"/>
  <sheetViews>
    <sheetView topLeftCell="A20" workbookViewId="0">
      <selection activeCell="E36" sqref="E36"/>
    </sheetView>
  </sheetViews>
  <sheetFormatPr defaultRowHeight="15"/>
  <cols>
    <col min="1" max="1" width="22.140625" customWidth="1"/>
    <col min="2" max="2" width="23.28515625" customWidth="1"/>
    <col min="3" max="3" width="19.140625" customWidth="1"/>
    <col min="4" max="4" width="10" customWidth="1"/>
    <col min="5" max="5" width="27.7109375" bestFit="1" customWidth="1"/>
    <col min="6" max="6" width="12.140625" bestFit="1" customWidth="1"/>
  </cols>
  <sheetData>
    <row r="1" spans="1:6" ht="15.75" thickBot="1">
      <c r="A1" t="s">
        <v>17</v>
      </c>
    </row>
    <row r="2" spans="1:6" ht="17.25" thickBot="1">
      <c r="A2" s="1" t="s">
        <v>0</v>
      </c>
      <c r="B2" s="7" t="s">
        <v>18</v>
      </c>
      <c r="C2" s="7" t="s">
        <v>19</v>
      </c>
    </row>
    <row r="3" spans="1:6" ht="66">
      <c r="A3" s="2" t="s">
        <v>4</v>
      </c>
      <c r="B3" s="8" t="s">
        <v>20</v>
      </c>
      <c r="C3" s="8" t="s">
        <v>21</v>
      </c>
    </row>
    <row r="4" spans="1:6" ht="82.5">
      <c r="A4" s="2" t="s">
        <v>7</v>
      </c>
      <c r="B4" s="8" t="s">
        <v>22</v>
      </c>
      <c r="C4" s="8" t="s">
        <v>23</v>
      </c>
    </row>
    <row r="5" spans="1:6" ht="49.5">
      <c r="A5" s="2" t="s">
        <v>9</v>
      </c>
      <c r="B5" s="8" t="s">
        <v>24</v>
      </c>
      <c r="C5" s="8" t="s">
        <v>25</v>
      </c>
    </row>
    <row r="6" spans="1:6" ht="49.5">
      <c r="A6" s="2" t="s">
        <v>14</v>
      </c>
      <c r="B6" s="8" t="s">
        <v>26</v>
      </c>
      <c r="C6" s="8" t="s">
        <v>27</v>
      </c>
    </row>
    <row r="7" spans="1:6" ht="49.5">
      <c r="A7" s="2" t="s">
        <v>28</v>
      </c>
      <c r="B7" s="8" t="s">
        <v>29</v>
      </c>
      <c r="C7" s="8" t="s">
        <v>30</v>
      </c>
    </row>
    <row r="9" spans="1:6" ht="17.25" thickBot="1">
      <c r="A9" s="9" t="s">
        <v>31</v>
      </c>
    </row>
    <row r="10" spans="1:6" ht="26.25" thickBot="1">
      <c r="A10" s="10" t="s">
        <v>32</v>
      </c>
      <c r="B10" s="10" t="s">
        <v>33</v>
      </c>
      <c r="C10" s="10" t="s">
        <v>34</v>
      </c>
      <c r="D10" s="10" t="s">
        <v>35</v>
      </c>
      <c r="E10" s="10" t="s">
        <v>36</v>
      </c>
      <c r="F10" s="10" t="s">
        <v>37</v>
      </c>
    </row>
    <row r="11" spans="1:6">
      <c r="A11" s="11" t="s">
        <v>38</v>
      </c>
      <c r="B11" s="12" t="s">
        <v>39</v>
      </c>
      <c r="C11" s="12" t="s">
        <v>40</v>
      </c>
      <c r="D11" s="12" t="s">
        <v>41</v>
      </c>
      <c r="E11" s="11" t="s">
        <v>42</v>
      </c>
      <c r="F11" s="13">
        <v>96000</v>
      </c>
    </row>
    <row r="12" spans="1:6">
      <c r="A12" s="14" t="s">
        <v>43</v>
      </c>
      <c r="B12" s="15" t="s">
        <v>44</v>
      </c>
      <c r="C12" s="15" t="s">
        <v>40</v>
      </c>
      <c r="D12" s="15" t="s">
        <v>41</v>
      </c>
      <c r="E12" s="14" t="s">
        <v>45</v>
      </c>
      <c r="F12" s="16">
        <v>18000</v>
      </c>
    </row>
    <row r="13" spans="1:6" ht="27.75">
      <c r="A13" s="17" t="s">
        <v>46</v>
      </c>
      <c r="B13" s="18" t="s">
        <v>47</v>
      </c>
      <c r="C13" s="18" t="s">
        <v>40</v>
      </c>
      <c r="D13" s="18" t="s">
        <v>48</v>
      </c>
      <c r="E13" s="17" t="s">
        <v>49</v>
      </c>
      <c r="F13" s="19">
        <v>67500</v>
      </c>
    </row>
    <row r="14" spans="1:6">
      <c r="A14" s="14" t="s">
        <v>50</v>
      </c>
      <c r="B14" s="15" t="s">
        <v>51</v>
      </c>
      <c r="C14" s="15" t="s">
        <v>40</v>
      </c>
      <c r="D14" s="15" t="s">
        <v>48</v>
      </c>
      <c r="E14" s="14" t="s">
        <v>52</v>
      </c>
      <c r="F14" s="46">
        <v>122000</v>
      </c>
    </row>
    <row r="15" spans="1:6" ht="27.75">
      <c r="A15" s="20" t="s">
        <v>53</v>
      </c>
      <c r="B15" s="21" t="s">
        <v>54</v>
      </c>
      <c r="C15" s="21" t="s">
        <v>55</v>
      </c>
      <c r="D15" s="21" t="s">
        <v>48</v>
      </c>
      <c r="E15" s="20" t="s">
        <v>56</v>
      </c>
      <c r="F15" s="47">
        <v>4555</v>
      </c>
    </row>
    <row r="16" spans="1:6" ht="27.75">
      <c r="A16" s="22" t="s">
        <v>57</v>
      </c>
      <c r="B16" s="23" t="s">
        <v>58</v>
      </c>
      <c r="C16" s="23" t="s">
        <v>55</v>
      </c>
      <c r="D16" s="23" t="s">
        <v>48</v>
      </c>
      <c r="E16" s="22" t="s">
        <v>59</v>
      </c>
      <c r="F16" s="48">
        <v>45000</v>
      </c>
    </row>
    <row r="19" spans="1:6" ht="15.75" thickBot="1">
      <c r="A19" t="s">
        <v>60</v>
      </c>
    </row>
    <row r="20" spans="1:6" ht="50.25" thickBot="1">
      <c r="A20" s="24" t="s">
        <v>61</v>
      </c>
      <c r="B20" s="25" t="s">
        <v>62</v>
      </c>
      <c r="C20" s="25" t="s">
        <v>63</v>
      </c>
      <c r="D20" s="25" t="s">
        <v>64</v>
      </c>
      <c r="E20" s="25" t="s">
        <v>65</v>
      </c>
    </row>
    <row r="21" spans="1:6" ht="66">
      <c r="A21" s="26" t="s">
        <v>66</v>
      </c>
      <c r="B21" s="27" t="s">
        <v>67</v>
      </c>
      <c r="C21" s="27" t="s">
        <v>68</v>
      </c>
      <c r="D21" s="27" t="s">
        <v>69</v>
      </c>
      <c r="E21" s="28" t="s">
        <v>70</v>
      </c>
    </row>
    <row r="22" spans="1:6" ht="33">
      <c r="A22" s="26" t="s">
        <v>71</v>
      </c>
      <c r="B22" s="27" t="s">
        <v>72</v>
      </c>
      <c r="C22" s="27" t="s">
        <v>73</v>
      </c>
      <c r="D22" s="27" t="s">
        <v>74</v>
      </c>
      <c r="E22" s="28" t="s">
        <v>75</v>
      </c>
    </row>
    <row r="23" spans="1:6" ht="66">
      <c r="A23" s="26" t="s">
        <v>76</v>
      </c>
      <c r="B23" s="27" t="s">
        <v>77</v>
      </c>
      <c r="C23" s="27" t="s">
        <v>78</v>
      </c>
      <c r="D23" s="27" t="s">
        <v>79</v>
      </c>
      <c r="E23" s="28" t="s">
        <v>80</v>
      </c>
    </row>
    <row r="24" spans="1:6" ht="33">
      <c r="A24" s="26" t="s">
        <v>81</v>
      </c>
      <c r="B24" s="27" t="s">
        <v>82</v>
      </c>
      <c r="C24" s="27" t="s">
        <v>83</v>
      </c>
      <c r="D24" s="27" t="s">
        <v>84</v>
      </c>
      <c r="E24" s="28" t="s">
        <v>85</v>
      </c>
    </row>
    <row r="27" spans="1:6" ht="17.25" thickBot="1">
      <c r="A27" s="29" t="s">
        <v>86</v>
      </c>
    </row>
    <row r="28" spans="1:6" ht="16.5" thickBot="1">
      <c r="A28" s="30" t="s">
        <v>87</v>
      </c>
      <c r="B28" s="30" t="s">
        <v>88</v>
      </c>
      <c r="C28" s="30" t="s">
        <v>89</v>
      </c>
      <c r="D28" s="30" t="s">
        <v>90</v>
      </c>
      <c r="E28" s="30" t="s">
        <v>91</v>
      </c>
      <c r="F28" s="30" t="s">
        <v>92</v>
      </c>
    </row>
    <row r="29" spans="1:6" ht="16.5">
      <c r="A29" s="31" t="s">
        <v>93</v>
      </c>
      <c r="B29" s="49">
        <v>-368500</v>
      </c>
      <c r="C29" s="33">
        <v>0</v>
      </c>
      <c r="D29" s="33">
        <v>0</v>
      </c>
      <c r="E29" s="33">
        <v>0</v>
      </c>
      <c r="F29" s="33">
        <v>0</v>
      </c>
    </row>
    <row r="30" spans="1:6" ht="33.75">
      <c r="A30" s="34" t="s">
        <v>94</v>
      </c>
      <c r="B30" s="50">
        <v>-24646</v>
      </c>
      <c r="C30" s="50">
        <v>-24646</v>
      </c>
      <c r="D30" s="50">
        <v>-24646</v>
      </c>
      <c r="E30" s="50">
        <v>-24646</v>
      </c>
      <c r="F30" s="50">
        <v>-24646</v>
      </c>
    </row>
    <row r="31" spans="1:6" ht="16.5">
      <c r="A31" s="35" t="s">
        <v>95</v>
      </c>
      <c r="B31" s="36">
        <v>0</v>
      </c>
      <c r="C31" s="37">
        <v>45324</v>
      </c>
      <c r="D31" s="37">
        <v>45324</v>
      </c>
      <c r="E31" s="37">
        <v>45324</v>
      </c>
      <c r="F31" s="52">
        <v>45324</v>
      </c>
    </row>
    <row r="32" spans="1:6" ht="16.5">
      <c r="A32" s="31" t="s">
        <v>96</v>
      </c>
      <c r="B32" s="51">
        <v>-393146</v>
      </c>
      <c r="C32" s="51">
        <v>20678</v>
      </c>
      <c r="D32" s="51">
        <v>20678</v>
      </c>
      <c r="E32" s="32">
        <v>20678</v>
      </c>
      <c r="F32" s="32">
        <v>20678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44D4-41D2-43C2-9E94-F3259B59456D}">
  <dimension ref="A1:H15"/>
  <sheetViews>
    <sheetView workbookViewId="0">
      <selection activeCell="D12" sqref="D12"/>
    </sheetView>
  </sheetViews>
  <sheetFormatPr defaultRowHeight="15"/>
  <cols>
    <col min="2" max="2" width="34.7109375" bestFit="1" customWidth="1"/>
    <col min="10" max="10" width="14.7109375" bestFit="1" customWidth="1"/>
  </cols>
  <sheetData>
    <row r="1" spans="1:8">
      <c r="C1" s="59" t="s">
        <v>97</v>
      </c>
      <c r="D1" s="59"/>
      <c r="E1" s="59"/>
      <c r="F1" s="59"/>
      <c r="G1" s="59"/>
    </row>
    <row r="2" spans="1:8">
      <c r="A2" s="4"/>
      <c r="B2" s="44" t="s">
        <v>98</v>
      </c>
      <c r="C2" s="44">
        <v>1</v>
      </c>
      <c r="D2" s="44">
        <v>2</v>
      </c>
      <c r="E2" s="44">
        <v>3</v>
      </c>
      <c r="F2" s="44">
        <v>4</v>
      </c>
      <c r="G2" s="44">
        <v>5</v>
      </c>
    </row>
    <row r="3" spans="1:8">
      <c r="A3" s="41" t="s">
        <v>99</v>
      </c>
      <c r="B3" s="38" t="s">
        <v>100</v>
      </c>
      <c r="C3" s="53">
        <v>-96000</v>
      </c>
      <c r="D3" s="38">
        <v>0</v>
      </c>
      <c r="E3" s="38">
        <v>0</v>
      </c>
      <c r="F3" s="38">
        <v>0</v>
      </c>
      <c r="G3" s="38">
        <v>0</v>
      </c>
    </row>
    <row r="4" spans="1:8">
      <c r="A4" s="38"/>
      <c r="B4" s="38" t="s">
        <v>101</v>
      </c>
      <c r="C4" s="53">
        <v>-18000</v>
      </c>
      <c r="D4" s="38">
        <v>0</v>
      </c>
      <c r="E4" s="38">
        <v>0</v>
      </c>
      <c r="F4" s="38">
        <v>0</v>
      </c>
      <c r="G4" s="38">
        <v>0</v>
      </c>
    </row>
    <row r="5" spans="1:8">
      <c r="A5" s="38"/>
      <c r="B5" s="38" t="s">
        <v>102</v>
      </c>
      <c r="C5" s="53">
        <v>-67500</v>
      </c>
      <c r="D5" s="38">
        <v>0</v>
      </c>
      <c r="E5" s="38">
        <v>0</v>
      </c>
      <c r="F5" s="38">
        <v>0</v>
      </c>
      <c r="G5" s="38">
        <v>0</v>
      </c>
    </row>
    <row r="6" spans="1:8">
      <c r="A6" s="38"/>
      <c r="B6" s="38" t="s">
        <v>103</v>
      </c>
      <c r="C6" s="53">
        <v>-45000</v>
      </c>
      <c r="D6" s="38">
        <v>0</v>
      </c>
      <c r="E6" s="38">
        <v>0</v>
      </c>
      <c r="F6" s="38">
        <v>0</v>
      </c>
      <c r="G6" s="38">
        <v>0</v>
      </c>
    </row>
    <row r="7" spans="1:8">
      <c r="A7" s="42" t="s">
        <v>104</v>
      </c>
      <c r="B7" s="39" t="s">
        <v>105</v>
      </c>
      <c r="C7" s="54">
        <v>-4555</v>
      </c>
      <c r="D7" s="54">
        <v>-4555</v>
      </c>
      <c r="E7" s="54">
        <v>-4555</v>
      </c>
      <c r="F7" s="54">
        <v>-4555</v>
      </c>
      <c r="G7" s="54">
        <v>-4555</v>
      </c>
    </row>
    <row r="8" spans="1:8">
      <c r="A8" s="39"/>
      <c r="B8" s="39" t="s">
        <v>106</v>
      </c>
      <c r="C8" s="54">
        <v>-12000</v>
      </c>
      <c r="D8" s="54">
        <v>-12000</v>
      </c>
      <c r="E8" s="54">
        <v>-12000</v>
      </c>
      <c r="F8" s="54">
        <v>-12000</v>
      </c>
      <c r="G8" s="54">
        <v>-12000</v>
      </c>
    </row>
    <row r="9" spans="1:8">
      <c r="A9" s="39"/>
      <c r="B9" s="39" t="s">
        <v>107</v>
      </c>
      <c r="C9" s="54">
        <v>-8000</v>
      </c>
      <c r="D9" s="54">
        <v>-8000</v>
      </c>
      <c r="E9" s="54">
        <v>-8000</v>
      </c>
      <c r="F9" s="54">
        <v>-8000</v>
      </c>
      <c r="G9" s="54">
        <v>-8000</v>
      </c>
    </row>
    <row r="10" spans="1:8">
      <c r="A10" s="39"/>
      <c r="B10" s="39"/>
      <c r="C10" s="39"/>
      <c r="D10" s="39"/>
      <c r="E10" s="39"/>
      <c r="F10" s="39"/>
      <c r="G10" s="39"/>
    </row>
    <row r="11" spans="1:8" ht="18">
      <c r="A11" s="43" t="s">
        <v>108</v>
      </c>
      <c r="B11" s="55" t="s">
        <v>109</v>
      </c>
      <c r="C11" s="40">
        <v>0</v>
      </c>
      <c r="D11" s="56">
        <v>2278</v>
      </c>
      <c r="E11" s="56">
        <v>2278</v>
      </c>
      <c r="F11" s="56">
        <v>2278</v>
      </c>
      <c r="G11" s="56">
        <v>2278</v>
      </c>
    </row>
    <row r="12" spans="1:8">
      <c r="A12" s="40"/>
      <c r="B12" s="40" t="s">
        <v>110</v>
      </c>
      <c r="C12" s="40">
        <v>0</v>
      </c>
      <c r="D12" s="56">
        <v>25000</v>
      </c>
      <c r="E12" s="56">
        <v>25000</v>
      </c>
      <c r="F12" s="56">
        <v>25000</v>
      </c>
      <c r="G12" s="56">
        <v>25000</v>
      </c>
    </row>
    <row r="13" spans="1:8">
      <c r="A13" s="40"/>
      <c r="B13" s="40" t="s">
        <v>82</v>
      </c>
      <c r="C13" s="40">
        <v>0</v>
      </c>
      <c r="D13" s="56">
        <v>12000</v>
      </c>
      <c r="E13" s="56">
        <v>12000</v>
      </c>
      <c r="F13" s="56">
        <v>12000</v>
      </c>
      <c r="G13" s="56">
        <v>12000</v>
      </c>
    </row>
    <row r="14" spans="1:8">
      <c r="A14" s="40"/>
      <c r="B14" s="40" t="s">
        <v>111</v>
      </c>
      <c r="C14" s="40">
        <v>0</v>
      </c>
      <c r="D14" s="56">
        <v>6000</v>
      </c>
      <c r="E14" s="56">
        <v>6000</v>
      </c>
      <c r="F14" s="56">
        <v>6000</v>
      </c>
      <c r="G14" s="56">
        <v>6000</v>
      </c>
      <c r="H14" s="45" t="s">
        <v>112</v>
      </c>
    </row>
    <row r="15" spans="1:8">
      <c r="A15" s="45" t="s">
        <v>113</v>
      </c>
      <c r="C15">
        <f>SUM(C3:C14)</f>
        <v>-251055</v>
      </c>
      <c r="D15">
        <f t="shared" ref="D15:G15" si="0">SUM(D3:D14)</f>
        <v>20723</v>
      </c>
      <c r="E15">
        <f t="shared" si="0"/>
        <v>20723</v>
      </c>
      <c r="F15">
        <f t="shared" si="0"/>
        <v>20723</v>
      </c>
      <c r="G15">
        <f t="shared" si="0"/>
        <v>20723</v>
      </c>
      <c r="H15">
        <f>SUM(C15:G15)</f>
        <v>-168163</v>
      </c>
    </row>
  </sheetData>
  <mergeCells count="1">
    <mergeCell ref="C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4ADC37-897E-402F-A709-869687DA4F6A}"/>
</file>

<file path=customXml/itemProps2.xml><?xml version="1.0" encoding="utf-8"?>
<ds:datastoreItem xmlns:ds="http://schemas.openxmlformats.org/officeDocument/2006/customXml" ds:itemID="{44C09D30-E7B9-46FB-AECB-A5CB6EB8B340}"/>
</file>

<file path=customXml/itemProps3.xml><?xml version="1.0" encoding="utf-8"?>
<ds:datastoreItem xmlns:ds="http://schemas.openxmlformats.org/officeDocument/2006/customXml" ds:itemID="{C2F674FA-7810-46AD-AE59-045B24A980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Leung, Vincent</dc:creator>
  <cp:keywords/>
  <dc:description/>
  <cp:lastModifiedBy/>
  <cp:revision/>
  <dcterms:created xsi:type="dcterms:W3CDTF">2026-01-07T22:13:22Z</dcterms:created>
  <dcterms:modified xsi:type="dcterms:W3CDTF">2026-03-26T09:50:21Z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</Properties>
</file>