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OWNER\Downloads\"/>
    </mc:Choice>
  </mc:AlternateContent>
  <xr:revisionPtr revIDLastSave="0" documentId="8_{1520E81C-E127-4E47-B7B9-DE88353CCD04}" xr6:coauthVersionLast="47" xr6:coauthVersionMax="47" xr10:uidLastSave="{00000000-0000-0000-0000-000000000000}"/>
  <bookViews>
    <workbookView xWindow="-108" yWindow="-108" windowWidth="23256" windowHeight="12456" activeTab="5" xr2:uid="{9B789AAF-6030-40EA-B24B-6CC9C3D80892}"/>
  </bookViews>
  <sheets>
    <sheet name="Cash Flows" sheetId="1" r:id="rId1"/>
    <sheet name="Detail1" sheetId="9" state="hidden" r:id="rId2"/>
    <sheet name="Detail2" sheetId="10" state="hidden" r:id="rId3"/>
    <sheet name="Detail3" sheetId="11" state="hidden" r:id="rId4"/>
    <sheet name="Detail4" sheetId="12" state="hidden" r:id="rId5"/>
    <sheet name="Cash Flow Diagram" sheetId="3" r:id="rId6"/>
    <sheet name="PW " sheetId="7" r:id="rId7"/>
    <sheet name="Extra Sheet" sheetId="6" r:id="rId8"/>
  </sheets>
  <calcPr calcId="191028"/>
  <pivotCaches>
    <pivotCache cacheId="43" r:id="rId9"/>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7" l="1"/>
  <c r="D16" i="7"/>
  <c r="D15" i="7"/>
  <c r="D14" i="7"/>
  <c r="D13" i="7"/>
  <c r="D12" i="7"/>
  <c r="D11" i="7"/>
  <c r="D10" i="7" l="1"/>
  <c r="A9" i="1"/>
  <c r="C17" i="7" l="1"/>
  <c r="E17" i="7" s="1"/>
  <c r="C16" i="7"/>
  <c r="F16" i="7" s="1"/>
  <c r="C15" i="7"/>
  <c r="C14" i="7"/>
  <c r="F14" i="7" s="1"/>
  <c r="C13" i="7"/>
  <c r="F13" i="7" s="1"/>
  <c r="C12" i="7"/>
  <c r="F12" i="7" s="1"/>
  <c r="C11" i="7"/>
  <c r="E11" i="7" s="1"/>
  <c r="C10" i="7"/>
  <c r="E10" i="7" s="1"/>
  <c r="F10" i="7"/>
  <c r="F11" i="7" l="1"/>
  <c r="F17" i="7"/>
  <c r="E12" i="7"/>
  <c r="E13" i="7"/>
  <c r="E14" i="7"/>
  <c r="F15" i="7"/>
  <c r="E16" i="7"/>
  <c r="E15" i="7"/>
  <c r="J11" i="7" l="1"/>
  <c r="J10" i="7"/>
  <c r="J12" i="7" l="1"/>
</calcChain>
</file>

<file path=xl/sharedStrings.xml><?xml version="1.0" encoding="utf-8"?>
<sst xmlns="http://schemas.openxmlformats.org/spreadsheetml/2006/main" count="60" uniqueCount="32">
  <si>
    <t>Income</t>
  </si>
  <si>
    <t>Expenses</t>
  </si>
  <si>
    <t>Order</t>
  </si>
  <si>
    <t>Personal Considerations</t>
  </si>
  <si>
    <t>Time Period</t>
  </si>
  <si>
    <t>Row Labels</t>
  </si>
  <si>
    <t>Sum of Income</t>
  </si>
  <si>
    <t>Sum of Expenses</t>
  </si>
  <si>
    <t>Grand Total</t>
  </si>
  <si>
    <t>Inflow Future Value</t>
  </si>
  <si>
    <t>Outflow Future Value</t>
  </si>
  <si>
    <t>Interest Rate</t>
  </si>
  <si>
    <t>Time</t>
  </si>
  <si>
    <t>Inflow PW</t>
  </si>
  <si>
    <t>Outflow PW</t>
  </si>
  <si>
    <t>Same as above</t>
  </si>
  <si>
    <t>Hybrid role, high upfront housing &amp; internet costs</t>
  </si>
  <si>
    <t>Reduced expenses after upfront rent payment</t>
  </si>
  <si>
    <t>Regular rent and monthly expenses resume</t>
  </si>
  <si>
    <t>+ $3,000 long-term QA &amp; testing career benefit</t>
  </si>
  <si>
    <t>Details for Sum of Income - Time Period: 1</t>
  </si>
  <si>
    <t>Details for Sum of Expenses - Time Period: 1</t>
  </si>
  <si>
    <t>Details for Sum of Income - Time Period: 16</t>
  </si>
  <si>
    <t>Total Inflow PW from Production Company (QA &amp; Testing Co-op):</t>
  </si>
  <si>
    <t>Total Outflow PW from Production Company (QA &amp; Testing Co-op):</t>
  </si>
  <si>
    <t>Total PW from Production Company (QA &amp; Testing Co-op):</t>
  </si>
  <si>
    <t>Note: Timescale is monthly (Total 8 months, one row for each month)</t>
  </si>
  <si>
    <t>(blank)</t>
  </si>
  <si>
    <t>Note: The calculations for total income and expenses per month can be found in the word doc titled "banikt_07_T01_Week5"</t>
  </si>
  <si>
    <t>Justification (250 words): For the QA and Testing Engineering Co-op, I estimated a long-term benefit of $3,000 based on comparison with my baseline work experience and expected career impact. In my previous part-time roles, I gained limited exposure to professional engineering workflows and minimal transferable technical skills. While the QA Co-op provides industry experience, the skill development is more focused on testing and verification rather than core design or development.
Based on salary data for QA and testing roles in Canada, entry-level positions earn approximately $70,000/year [1]. Compared to a baseline early-career salary of $65,000/year without co-op experience, this implies an incremental salary difference of $5,000. Applying a conservative 15% factor to reflect realistic early-career impact yields an estimated annual benefit of approximately $750/year. Assuming this benefit persists over the first four years after graduation, the total long-term benefit is $3,000 ($750/year * 4 years).
This value was included in the PW analysis to account for professional growth, industry exposure, and networking opportunities. Despite this added benefit, the overall Present Worth of the QA Co-op remains lower than the R&amp;D Engineering Co-op, indicating that it provides less financial and long-term career value, which explains why it is not the superior option.</t>
  </si>
  <si>
    <t>References</t>
  </si>
  <si>
    <t>[1] “Tech salary calculator by Shecodes,” SheCodes, https://www.shecodes.io/salaries/canada/qa-engineer?utm_source=chatgpt.com (accessed Feb. 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</si>
</sst>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000"/>
    <numFmt numFmtId="165" formatCode="0.000"/>
  </numFmts>
  <fonts count="11" x14ac:knownFonts="1">
    <font>
      <sz val="11"/>
      <color theme="1"/>
      <name val="Aptos Narrow"/>
      <family val="2"/>
      <scheme val="minor"/>
    </font>
    <font>
      <sz val="8"/>
      <name val="Aptos Narrow"/>
      <family val="2"/>
      <scheme val="minor"/>
    </font>
    <font>
      <b/>
      <sz val="11"/>
      <color rgb="FF000000"/>
      <name val="Aptos Narrow"/>
      <family val="2"/>
      <scheme val="minor"/>
    </font>
    <font>
      <sz val="11"/>
      <color rgb="FF000000"/>
      <name val="Aptos Narrow"/>
      <family val="2"/>
      <scheme val="minor"/>
    </font>
    <font>
      <b/>
      <sz val="11"/>
      <color rgb="FFFFFFFF"/>
      <name val="Aptos Narrow"/>
      <family val="2"/>
      <scheme val="minor"/>
    </font>
    <font>
      <sz val="11"/>
      <color theme="1"/>
      <name val="Arial Narrow"/>
      <family val="2"/>
    </font>
    <font>
      <sz val="11"/>
      <color rgb="FF000000"/>
      <name val="Arial Narrow"/>
      <family val="2"/>
    </font>
    <font>
      <b/>
      <sz val="11"/>
      <color theme="1"/>
      <name val="Arial Narrow"/>
      <family val="2"/>
    </font>
    <font>
      <sz val="11"/>
      <color theme="1"/>
      <name val="Aptos Narrow"/>
      <family val="2"/>
      <scheme val="minor"/>
    </font>
    <font>
      <b/>
      <sz val="11"/>
      <color theme="1"/>
      <name val="Aptos Narrow"/>
      <family val="2"/>
      <scheme val="minor"/>
    </font>
    <font>
      <b/>
      <i/>
      <sz val="11"/>
      <color rgb="FF000000"/>
      <name val="Arial Narrow"/>
      <family val="2"/>
    </font>
  </fonts>
  <fills count="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0" tint="-0.14999847407452621"/>
        <bgColor theme="0" tint="-0.14999847407452621"/>
      </patternFill>
    </fill>
  </fills>
  <borders count="13">
    <border>
      <left/>
      <right/>
      <top/>
      <bottom/>
      <diagonal/>
    </border>
    <border>
      <left style="thin">
        <color rgb="FF44B3E1"/>
      </left>
      <right style="thin">
        <color rgb="FF000000"/>
      </right>
      <top style="thin">
        <color rgb="FF44B3E1"/>
      </top>
      <bottom style="thin">
        <color rgb="FF44B3E1"/>
      </bottom>
      <diagonal/>
    </border>
    <border>
      <left/>
      <right style="thin">
        <color rgb="FF000000"/>
      </right>
      <top style="thin">
        <color rgb="FF44B3E1"/>
      </top>
      <bottom style="thin">
        <color rgb="FF44B3E1"/>
      </bottom>
      <diagonal/>
    </border>
    <border>
      <left/>
      <right style="thin">
        <color rgb="FF000000"/>
      </right>
      <top/>
      <bottom/>
      <diagonal/>
    </border>
    <border>
      <left/>
      <right style="thin">
        <color rgb="FF000000"/>
      </right>
      <top style="thin">
        <color rgb="FF44B3E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44" fontId="8" fillId="0" borderId="0" applyFont="0" applyFill="0" applyBorder="0" applyAlignment="0" applyProtection="0"/>
  </cellStyleXfs>
  <cellXfs count="54">
    <xf numFmtId="0" fontId="0" fillId="0" borderId="0" xfId="0"/>
    <xf numFmtId="0" fontId="2" fillId="0" borderId="0" xfId="0" applyFont="1"/>
    <xf numFmtId="0" fontId="3" fillId="0" borderId="0" xfId="0" applyFont="1"/>
    <xf numFmtId="0" fontId="2" fillId="0" borderId="0" xfId="0" applyFont="1" applyAlignment="1">
      <alignment vertical="top"/>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xf numFmtId="0" fontId="5" fillId="0" borderId="0" xfId="0" applyFont="1" applyProtection="1">
      <protection locked="0"/>
    </xf>
    <xf numFmtId="49" fontId="5" fillId="0" borderId="0" xfId="0" applyNumberFormat="1" applyFont="1"/>
    <xf numFmtId="0" fontId="5" fillId="0" borderId="0" xfId="0" applyFont="1" applyAlignment="1" applyProtection="1">
      <alignment horizontal="left"/>
      <protection locked="0"/>
    </xf>
    <xf numFmtId="0" fontId="5" fillId="0" borderId="0" xfId="0" applyFont="1"/>
    <xf numFmtId="0" fontId="5" fillId="0" borderId="0" xfId="0" applyFont="1" applyAlignment="1">
      <alignment horizontal="left"/>
    </xf>
    <xf numFmtId="0" fontId="6" fillId="3" borderId="2" xfId="0" applyFont="1" applyFill="1" applyBorder="1"/>
    <xf numFmtId="0" fontId="6" fillId="0" borderId="2" xfId="0" applyFont="1" applyBorder="1"/>
    <xf numFmtId="0" fontId="6" fillId="0" borderId="4" xfId="0" applyFont="1" applyBorder="1"/>
    <xf numFmtId="0" fontId="7" fillId="0" borderId="0" xfId="0" applyFont="1" applyAlignment="1">
      <alignment vertical="top"/>
    </xf>
    <xf numFmtId="0" fontId="7" fillId="0" borderId="0" xfId="0" applyFont="1"/>
    <xf numFmtId="0" fontId="5" fillId="0" borderId="0" xfId="0" pivotButton="1" applyFont="1" applyAlignment="1">
      <alignment horizontal="center"/>
    </xf>
    <xf numFmtId="0" fontId="5" fillId="0" borderId="0" xfId="0" applyFont="1" applyAlignment="1">
      <alignment horizontal="center"/>
    </xf>
    <xf numFmtId="0" fontId="0" fillId="4" borderId="0" xfId="0" applyFill="1"/>
    <xf numFmtId="0" fontId="5" fillId="4" borderId="0" xfId="0" applyFont="1" applyFill="1" applyAlignment="1">
      <alignment horizontal="left"/>
    </xf>
    <xf numFmtId="44" fontId="0" fillId="4" borderId="0" xfId="1" applyFont="1" applyFill="1"/>
    <xf numFmtId="44" fontId="0" fillId="0" borderId="0" xfId="1" applyFont="1"/>
    <xf numFmtId="0" fontId="9" fillId="0" borderId="0" xfId="0" applyFont="1"/>
    <xf numFmtId="0" fontId="7" fillId="0" borderId="0" xfId="0" applyFont="1" applyProtection="1">
      <protection locked="0"/>
    </xf>
    <xf numFmtId="4" fontId="6" fillId="0" borderId="2" xfId="0" applyNumberFormat="1" applyFont="1" applyBorder="1"/>
    <xf numFmtId="44" fontId="3" fillId="0" borderId="0" xfId="1" applyFont="1"/>
    <xf numFmtId="44" fontId="3" fillId="0" borderId="0" xfId="0" applyNumberFormat="1" applyFont="1"/>
    <xf numFmtId="164" fontId="6" fillId="3" borderId="2" xfId="0" applyNumberFormat="1" applyFont="1" applyFill="1" applyBorder="1"/>
    <xf numFmtId="165" fontId="6" fillId="3" borderId="2" xfId="0" applyNumberFormat="1" applyFont="1" applyFill="1" applyBorder="1"/>
    <xf numFmtId="2" fontId="6" fillId="3" borderId="2" xfId="0" applyNumberFormat="1" applyFont="1" applyFill="1" applyBorder="1"/>
    <xf numFmtId="164" fontId="6" fillId="0" borderId="2" xfId="0" applyNumberFormat="1" applyFont="1" applyBorder="1"/>
    <xf numFmtId="165" fontId="6" fillId="0" borderId="2" xfId="0" applyNumberFormat="1" applyFont="1" applyBorder="1"/>
    <xf numFmtId="2" fontId="6" fillId="0" borderId="2" xfId="0" applyNumberFormat="1" applyFont="1" applyBorder="1"/>
    <xf numFmtId="2" fontId="6" fillId="0" borderId="4" xfId="0" applyNumberFormat="1" applyFont="1" applyBorder="1"/>
    <xf numFmtId="165" fontId="6" fillId="0" borderId="4" xfId="0" applyNumberFormat="1" applyFont="1" applyBorder="1"/>
    <xf numFmtId="164" fontId="6" fillId="0" borderId="4" xfId="0" applyNumberFormat="1" applyFont="1" applyBorder="1"/>
    <xf numFmtId="0" fontId="5" fillId="4" borderId="0" xfId="0" applyFont="1" applyFill="1" applyAlignment="1" applyProtection="1">
      <alignment horizontal="left"/>
      <protection locked="0"/>
    </xf>
    <xf numFmtId="44" fontId="5" fillId="4" borderId="0" xfId="1" applyFont="1" applyFill="1" applyProtection="1">
      <protection locked="0"/>
    </xf>
    <xf numFmtId="44" fontId="5" fillId="0" borderId="0" xfId="1" applyFont="1" applyProtection="1">
      <protection locked="0"/>
    </xf>
    <xf numFmtId="49" fontId="5" fillId="4" borderId="0" xfId="0" applyNumberFormat="1" applyFont="1" applyFill="1" applyAlignment="1" applyProtection="1">
      <alignment horizontal="left"/>
      <protection locked="0"/>
    </xf>
    <xf numFmtId="49" fontId="5" fillId="0" borderId="0" xfId="0" applyNumberFormat="1" applyFont="1" applyAlignment="1" applyProtection="1">
      <alignment horizontal="left"/>
      <protection locked="0"/>
    </xf>
    <xf numFmtId="0" fontId="10" fillId="0" borderId="5" xfId="0" applyFont="1" applyBorder="1" applyAlignment="1">
      <alignment horizontal="left" vertical="top" wrapText="1"/>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0" xfId="0" applyFont="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11" xfId="0" applyFont="1" applyBorder="1" applyAlignment="1">
      <alignment horizontal="left" vertical="top"/>
    </xf>
    <xf numFmtId="0" fontId="5" fillId="0" borderId="12" xfId="0" applyFont="1" applyBorder="1" applyAlignment="1">
      <alignment horizontal="left" vertical="top"/>
    </xf>
    <xf numFmtId="0" fontId="5" fillId="0" borderId="0" xfId="0" applyNumberFormat="1" applyFont="1"/>
    <xf numFmtId="0" fontId="0" fillId="0" borderId="0" xfId="0" applyAlignment="1">
      <alignment horizontal="left" vertical="center" indent="5"/>
    </xf>
  </cellXfs>
  <cellStyles count="2">
    <cellStyle name="Currency" xfId="1" builtinId="4"/>
    <cellStyle name="Normal" xfId="0" builtinId="0"/>
  </cellStyles>
  <dxfs count="40">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border outline="0">
        <bottom style="thin">
          <color rgb="FF44B3E1"/>
        </bottom>
      </border>
    </dxf>
    <dxf>
      <font>
        <b val="0"/>
        <i val="0"/>
        <strike val="0"/>
        <condense val="0"/>
        <extend val="0"/>
        <outline val="0"/>
        <shadow val="0"/>
        <u val="none"/>
        <vertAlign val="baseline"/>
        <sz val="11"/>
        <color rgb="FF000000"/>
        <name val="Arial Narrow"/>
        <scheme val="minor"/>
      </font>
    </dxf>
    <dxf>
      <font>
        <b/>
        <i val="0"/>
        <strike val="0"/>
        <condense val="0"/>
        <extend val="0"/>
        <outline val="0"/>
        <shadow val="0"/>
        <u val="none"/>
        <vertAlign val="baseline"/>
        <sz val="11"/>
        <color rgb="FFFFFFFF"/>
        <name val="Aptos Narrow"/>
        <family val="2"/>
        <scheme val="minor"/>
      </font>
      <fill>
        <patternFill patternType="solid">
          <fgColor rgb="FF156082"/>
          <bgColor rgb="FF156082"/>
        </patternFill>
      </fill>
    </dxf>
    <dxf>
      <font>
        <name val="Arial Narrow"/>
      </font>
    </dxf>
    <dxf>
      <font>
        <name val="Arial Narrow"/>
      </font>
    </dxf>
    <dxf>
      <font>
        <name val="Arial Narrow"/>
      </font>
    </dxf>
    <dxf>
      <font>
        <name val="Arial Narrow"/>
      </font>
    </dxf>
    <dxf>
      <font>
        <name val="Arial Narrow"/>
      </font>
    </dxf>
    <dxf>
      <font>
        <name val="Arial Narrow"/>
      </font>
    </dxf>
    <dxf>
      <font>
        <name val="Arial Narrow"/>
      </font>
      <alignment horizontal="left" vertical="bottom" textRotation="0" wrapText="0" indent="0" justifyLastLine="0" shrinkToFit="0" readingOrder="0"/>
      <protection locked="0" hidden="0"/>
    </dxf>
    <dxf>
      <font>
        <name val="Arial Narrow"/>
      </font>
      <alignment horizontal="left" vertical="bottom" textRotation="0" wrapText="0" indent="0" justifyLastLine="0" shrinkToFit="0" readingOrder="0"/>
    </dxf>
    <dxf>
      <font>
        <name val="Arial Narrow"/>
      </font>
      <numFmt numFmtId="30" formatCode="@"/>
      <alignment horizontal="left" vertical="bottom" textRotation="0" wrapText="0" indent="0" justifyLastLine="0" shrinkToFit="0" readingOrder="0"/>
      <protection locked="0" hidden="0"/>
    </dxf>
    <dxf>
      <font>
        <name val="Arial Narrow"/>
      </font>
      <protection locked="0" hidden="0"/>
    </dxf>
    <dxf>
      <font>
        <name val="Arial Narrow"/>
      </font>
      <protection locked="0" hidden="0"/>
    </dxf>
    <dxf>
      <font>
        <name val="Arial Narrow"/>
      </font>
    </dxf>
    <dxf>
      <font>
        <name val="Arial Narrow"/>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[banikt_07_T01_Week5_QA_Coop.xlsx]Cash Flow Diagram!CashFlowPivot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r>
              <a:rPr lang="en-US"/>
              <a:t>Cash</a:t>
            </a:r>
            <a:r>
              <a:rPr lang="en-US" baseline="0"/>
              <a:t> Flow Diagram Template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4"/>
            <a:stretch>
              <a:fillRect/>
            </a:stretch>
          </a:blipFill>
          <a:ln>
            <a:noFill/>
          </a:ln>
          <a:effectLst/>
        </c:spPr>
        <c:dLbl>
          <c:idx val="0"/>
          <c:layout>
            <c:manualLayout>
              <c:x val="0"/>
              <c:y val="-1.401960979120699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dLbl>
          <c:idx val="0"/>
          <c:layout>
            <c:manualLayout>
              <c:x val="0"/>
              <c:y val="-3.7385626109885772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4"/>
            <a:stretch>
              <a:fillRect/>
            </a:stretch>
          </a:blipFill>
          <a:ln>
            <a:noFill/>
          </a:ln>
          <a:effectLst/>
        </c:spPr>
        <c:dLbl>
          <c:idx val="0"/>
          <c:layout>
            <c:manualLayout>
              <c:x val="0"/>
              <c:y val="-1.869281305494288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34249210792546E-2"/>
          <c:y val="4.61037660003982E-2"/>
          <c:w val="0.93914246196403872"/>
          <c:h val="0.89860084407357499"/>
        </c:manualLayout>
      </c:layout>
      <c:barChart>
        <c:barDir val="col"/>
        <c:grouping val="clustered"/>
        <c:varyColors val="0"/>
        <c:ser>
          <c:idx val="0"/>
          <c:order val="0"/>
          <c:tx>
            <c:strRef>
              <c:f>'Cash Flow Diagram'!$B$1</c:f>
              <c:strCache>
                <c:ptCount val="1"/>
                <c:pt idx="0">
                  <c:v>Sum of Income</c:v>
                </c:pt>
              </c:strCache>
            </c:strRef>
          </c:tx>
          <c:spPr>
            <a:blipFill>
              <a:blip xmlns:r="http://schemas.openxmlformats.org/officeDocument/2006/relationships" r:embed="rId3"/>
              <a:stretch>
                <a:fillRect/>
              </a:stretch>
            </a:blip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Diagram'!$B$2:$B$11</c:f>
              <c:numCache>
                <c:formatCode>General</c:formatCode>
                <c:ptCount val="9"/>
                <c:pt idx="0">
                  <c:v>3997.4</c:v>
                </c:pt>
                <c:pt idx="1">
                  <c:v>3997.4</c:v>
                </c:pt>
                <c:pt idx="2">
                  <c:v>3997.4</c:v>
                </c:pt>
                <c:pt idx="3">
                  <c:v>3997.4</c:v>
                </c:pt>
                <c:pt idx="4">
                  <c:v>3997.4</c:v>
                </c:pt>
                <c:pt idx="5">
                  <c:v>3997.4</c:v>
                </c:pt>
                <c:pt idx="6">
                  <c:v>3997.4</c:v>
                </c:pt>
                <c:pt idx="7">
                  <c:v>6997.4</c:v>
                </c:pt>
              </c:numCache>
            </c:numRef>
          </c:val>
          <c:extLst>
            <c:ext xmlns:c16="http://schemas.microsoft.com/office/drawing/2014/chart" uri="{C3380CC4-5D6E-409C-BE32-E72D297353CC}">
              <c16:uniqueId val="{00000000-865C-4C17-BE09-17573C516953}"/>
            </c:ext>
          </c:extLst>
        </c:ser>
        <c:ser>
          <c:idx val="1"/>
          <c:order val="1"/>
          <c:tx>
            <c:strRef>
              <c:f>'Cash Flow Diagram'!$C$1</c:f>
              <c:strCache>
                <c:ptCount val="1"/>
                <c:pt idx="0">
                  <c:v>Sum of Expenses</c:v>
                </c:pt>
              </c:strCache>
            </c:strRef>
          </c:tx>
          <c:spPr>
            <a:blipFill>
              <a:blip xmlns:r="http://schemas.openxmlformats.org/officeDocument/2006/relationships" r:embed="rId4"/>
              <a:stretch>
                <a:fillRect/>
              </a:stretch>
            </a:blipFill>
            <a:ln>
              <a:noFill/>
            </a:ln>
            <a:effectLst/>
          </c:spPr>
          <c:invertIfNegative val="0"/>
          <c:dPt>
            <c:idx val="0"/>
            <c:invertIfNegative val="0"/>
            <c:bubble3D val="0"/>
            <c:extLst>
              <c:ext xmlns:c16="http://schemas.microsoft.com/office/drawing/2014/chart" uri="{C3380CC4-5D6E-409C-BE32-E72D297353CC}">
                <c16:uniqueId val="{00000011-0041-425D-A8B3-1D953ECC64C5}"/>
              </c:ext>
            </c:extLst>
          </c:dPt>
          <c:dPt>
            <c:idx val="2"/>
            <c:invertIfNegative val="0"/>
            <c:bubble3D val="0"/>
            <c:extLst>
              <c:ext xmlns:c16="http://schemas.microsoft.com/office/drawing/2014/chart" uri="{C3380CC4-5D6E-409C-BE32-E72D297353CC}">
                <c16:uniqueId val="{00000005-865C-4C17-BE09-17573C516953}"/>
              </c:ext>
            </c:extLst>
          </c:dPt>
          <c:dPt>
            <c:idx val="3"/>
            <c:invertIfNegative val="0"/>
            <c:bubble3D val="0"/>
            <c:extLst>
              <c:ext xmlns:c16="http://schemas.microsoft.com/office/drawing/2014/chart" uri="{C3380CC4-5D6E-409C-BE32-E72D297353CC}">
                <c16:uniqueId val="{00000006-865C-4C17-BE09-17573C516953}"/>
              </c:ext>
            </c:extLst>
          </c:dPt>
          <c:dPt>
            <c:idx val="4"/>
            <c:invertIfNegative val="0"/>
            <c:bubble3D val="0"/>
            <c:extLst>
              <c:ext xmlns:c16="http://schemas.microsoft.com/office/drawing/2014/chart" uri="{C3380CC4-5D6E-409C-BE32-E72D297353CC}">
                <c16:uniqueId val="{00000007-865C-4C17-BE09-17573C516953}"/>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Diagram'!$C$2:$C$11</c:f>
              <c:numCache>
                <c:formatCode>General</c:formatCode>
                <c:ptCount val="9"/>
                <c:pt idx="0">
                  <c:v>-4272.08</c:v>
                </c:pt>
                <c:pt idx="1">
                  <c:v>-897.08</c:v>
                </c:pt>
                <c:pt idx="2">
                  <c:v>-897.08</c:v>
                </c:pt>
                <c:pt idx="3">
                  <c:v>-1997.08</c:v>
                </c:pt>
                <c:pt idx="4">
                  <c:v>-1997.08</c:v>
                </c:pt>
                <c:pt idx="5">
                  <c:v>-1997.08</c:v>
                </c:pt>
                <c:pt idx="6">
                  <c:v>-1997.08</c:v>
                </c:pt>
                <c:pt idx="7">
                  <c:v>-1997.08</c:v>
                </c:pt>
              </c:numCache>
            </c:numRef>
          </c:val>
          <c:extLst>
            <c:ext xmlns:c16="http://schemas.microsoft.com/office/drawing/2014/chart" uri="{C3380CC4-5D6E-409C-BE32-E72D297353CC}">
              <c16:uniqueId val="{00000002-865C-4C17-BE09-17573C516953}"/>
            </c:ext>
          </c:extLst>
        </c:ser>
        <c:dLbls>
          <c:dLblPos val="outEnd"/>
          <c:showLegendKey val="0"/>
          <c:showVal val="1"/>
          <c:showCatName val="0"/>
          <c:showSerName val="0"/>
          <c:showPercent val="0"/>
          <c:showBubbleSize val="0"/>
        </c:dLbls>
        <c:gapWidth val="203"/>
        <c:overlap val="100"/>
        <c:axId val="329648607"/>
        <c:axId val="329646207"/>
      </c:barChart>
      <c:catAx>
        <c:axId val="329648607"/>
        <c:scaling>
          <c:orientation val="minMax"/>
        </c:scaling>
        <c:delete val="0"/>
        <c:axPos val="b"/>
        <c:numFmt formatCode="General" sourceLinked="0"/>
        <c:majorTickMark val="none"/>
        <c:minorTickMark val="none"/>
        <c:tickLblPos val="nextTo"/>
        <c:spPr>
          <a:noFill/>
          <a:ln w="9525" cap="flat" cmpd="sng" algn="ctr">
            <a:solidFill>
              <a:schemeClr val="accent1">
                <a:shade val="15000"/>
              </a:schemeClr>
            </a:solidFill>
            <a:round/>
          </a:ln>
          <a:effectLst/>
        </c:spPr>
        <c:txPr>
          <a:bodyPr rot="0" spcFirstLastPara="1" vertOverflow="ellipsis"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329646207"/>
        <c:crosses val="autoZero"/>
        <c:auto val="1"/>
        <c:lblAlgn val="ctr"/>
        <c:lblOffset val="1"/>
        <c:noMultiLvlLbl val="0"/>
      </c:catAx>
      <c:valAx>
        <c:axId val="329646207"/>
        <c:scaling>
          <c:orientation val="minMax"/>
        </c:scaling>
        <c:delete val="1"/>
        <c:axPos val="l"/>
        <c:numFmt formatCode="General" sourceLinked="1"/>
        <c:majorTickMark val="out"/>
        <c:minorTickMark val="none"/>
        <c:tickLblPos val="nextTo"/>
        <c:crossAx val="32964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514977</xdr:colOff>
      <xdr:row>0</xdr:row>
      <xdr:rowOff>0</xdr:rowOff>
    </xdr:from>
    <xdr:to>
      <xdr:col>15</xdr:col>
      <xdr:colOff>480060</xdr:colOff>
      <xdr:row>20</xdr:row>
      <xdr:rowOff>45720</xdr:rowOff>
    </xdr:to>
    <xdr:graphicFrame macro="">
      <xdr:nvGraphicFramePr>
        <xdr:cNvPr id="2" name="CashFlowDiagram">
          <a:extLst>
            <a:ext uri="{FF2B5EF4-FFF2-40B4-BE49-F238E27FC236}">
              <a16:creationId xmlns:a16="http://schemas.microsoft.com/office/drawing/2014/main" id="{3322DE95-719E-98CA-28EB-D451ABDB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OWNER" refreshedDate="46055.954773379628" createdVersion="8" refreshedVersion="8" minRefreshableVersion="3" recordCount="16" xr:uid="{52E38DEE-8143-4817-97FC-60B3BCC0E1E4}">
  <cacheSource type="worksheet">
    <worksheetSource name="CashFlowsInput"/>
  </cacheSource>
  <cacheFields count="5">
    <cacheField name="Income" numFmtId="44">
      <sharedItems containsString="0" containsBlank="1" containsNumber="1" minValue="3997.4" maxValue="6997.4"/>
    </cacheField>
    <cacheField name="Expenses" numFmtId="44">
      <sharedItems containsString="0" containsBlank="1" containsNumber="1" minValue="-4272.08" maxValue="-897.08"/>
    </cacheField>
    <cacheField name="Order" numFmtId="0">
      <sharedItems containsString="0" containsBlank="1" containsNumber="1" containsInteger="1" minValue="1" maxValue="8"/>
    </cacheField>
    <cacheField name="Personal Considerations" numFmtId="0">
      <sharedItems containsBlank="1"/>
    </cacheField>
    <cacheField name="Time Period" numFmtId="0">
      <sharedItems containsString="0" containsBlank="1" containsNumber="1" containsInteger="1" minValue="1" maxValue="24" count="25">
        <n v="1"/>
        <n v="2"/>
        <n v="3"/>
        <n v="4"/>
        <n v="5"/>
        <n v="6"/>
        <n v="7"/>
        <n v="8"/>
        <m/>
        <n v="9" u="1"/>
        <n v="10" u="1"/>
        <n v="11" u="1"/>
        <n v="12" u="1"/>
        <n v="13" u="1"/>
        <n v="14" u="1"/>
        <n v="15" u="1"/>
        <n v="16" u="1"/>
        <n v="17" u="1"/>
        <n v="18" u="1"/>
        <n v="19" u="1"/>
        <n v="20" u="1"/>
        <n v="21" u="1"/>
        <n v="22" u="1"/>
        <n v="23" u="1"/>
        <n v="24"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3997.4"/>
    <n v="-4272.08"/>
    <n v="1"/>
    <s v="Hybrid role, high upfront housing &amp; internet costs"/>
    <x v="0"/>
  </r>
  <r>
    <n v="3997.4"/>
    <n v="-897.08"/>
    <n v="2"/>
    <s v="Reduced expenses after upfront rent payment"/>
    <x v="1"/>
  </r>
  <r>
    <n v="3997.4"/>
    <n v="-897.08"/>
    <n v="3"/>
    <s v="Same as above"/>
    <x v="2"/>
  </r>
  <r>
    <n v="3997.4"/>
    <n v="-1997.08"/>
    <n v="4"/>
    <s v="Regular rent and monthly expenses resume"/>
    <x v="3"/>
  </r>
  <r>
    <n v="3997.4"/>
    <n v="-1997.08"/>
    <n v="5"/>
    <s v="Same as above"/>
    <x v="4"/>
  </r>
  <r>
    <n v="3997.4"/>
    <n v="-1997.08"/>
    <n v="6"/>
    <s v="Same as above"/>
    <x v="5"/>
  </r>
  <r>
    <n v="3997.4"/>
    <n v="-1997.08"/>
    <n v="7"/>
    <s v="Same as above"/>
    <x v="6"/>
  </r>
  <r>
    <n v="6997.4"/>
    <n v="-1997.08"/>
    <n v="8"/>
    <s v="+ $3,000 long-term QA &amp; testing career benefit"/>
    <x v="7"/>
  </r>
  <r>
    <m/>
    <m/>
    <m/>
    <m/>
    <x v="8"/>
  </r>
  <r>
    <m/>
    <m/>
    <m/>
    <m/>
    <x v="8"/>
  </r>
  <r>
    <m/>
    <m/>
    <m/>
    <m/>
    <x v="8"/>
  </r>
  <r>
    <m/>
    <m/>
    <m/>
    <m/>
    <x v="8"/>
  </r>
  <r>
    <m/>
    <m/>
    <m/>
    <m/>
    <x v="8"/>
  </r>
  <r>
    <m/>
    <m/>
    <m/>
    <m/>
    <x v="8"/>
  </r>
  <r>
    <m/>
    <m/>
    <m/>
    <m/>
    <x v="8"/>
  </r>
  <r>
    <m/>
    <m/>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87921-26C7-41D3-A689-DA782E43CD16}" name="CashFlowPivot" cacheId="43"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13">
  <location ref="A1:C11" firstHeaderRow="0" firstDataRow="1" firstDataCol="1"/>
  <pivotFields count="5">
    <pivotField dataField="1" showAll="0"/>
    <pivotField dataField="1" showAll="0"/>
    <pivotField showAll="0"/>
    <pivotField showAll="0"/>
    <pivotField axis="axisRow" showAll="0" sortType="ascending">
      <items count="26">
        <item x="0"/>
        <item x="1"/>
        <item x="2"/>
        <item x="3"/>
        <item x="4"/>
        <item x="5"/>
        <item x="6"/>
        <item x="7"/>
        <item m="1" x="9"/>
        <item m="1" x="10"/>
        <item m="1" x="11"/>
        <item m="1" x="12"/>
        <item m="1" x="13"/>
        <item m="1" x="14"/>
        <item m="1" x="15"/>
        <item m="1" x="16"/>
        <item m="1" x="17"/>
        <item m="1" x="18"/>
        <item m="1" x="19"/>
        <item m="1" x="20"/>
        <item m="1" x="21"/>
        <item m="1" x="22"/>
        <item m="1" x="23"/>
        <item m="1" x="24"/>
        <item x="8"/>
        <item t="default"/>
      </items>
    </pivotField>
  </pivotFields>
  <rowFields count="1">
    <field x="4"/>
  </rowFields>
  <rowItems count="10">
    <i>
      <x/>
    </i>
    <i>
      <x v="1"/>
    </i>
    <i>
      <x v="2"/>
    </i>
    <i>
      <x v="3"/>
    </i>
    <i>
      <x v="4"/>
    </i>
    <i>
      <x v="5"/>
    </i>
    <i>
      <x v="6"/>
    </i>
    <i>
      <x v="7"/>
    </i>
    <i>
      <x v="24"/>
    </i>
    <i t="grand">
      <x/>
    </i>
  </rowItems>
  <colFields count="1">
    <field x="-2"/>
  </colFields>
  <colItems count="2">
    <i>
      <x/>
    </i>
    <i i="1">
      <x v="1"/>
    </i>
  </colItems>
  <dataFields count="2">
    <dataField name="Sum of Income" fld="0" baseField="0" baseItem="0"/>
    <dataField name="Sum of Expenses" fld="1" baseField="0" baseItem="0"/>
  </dataFields>
  <formats count="6">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CD76D3-E64A-414E-844C-4F54ED693645}" name="CashFlowsInput" displayName="CashFlowsInput" ref="A1:E17" totalsRowShown="0" headerRowDxfId="39" dataDxfId="38">
  <autoFilter ref="A1:E17" xr:uid="{5CCD76D3-E64A-414E-844C-4F54ED693645}"/>
  <sortState xmlns:xlrd2="http://schemas.microsoft.com/office/spreadsheetml/2017/richdata2" ref="A2:E17">
    <sortCondition ref="C1:C17"/>
  </sortState>
  <tableColumns count="5">
    <tableColumn id="1" xr3:uid="{455A84AB-00D3-409F-9EFF-952A8F37F8AB}" name="Income" dataDxfId="37" dataCellStyle="Currency"/>
    <tableColumn id="2" xr3:uid="{17558EE1-C441-4BC1-90D6-854DB507BCA9}" name="Expenses" dataDxfId="36" dataCellStyle="Currency"/>
    <tableColumn id="3" xr3:uid="{9258450A-10C8-494B-8731-ECDE83112060}" name="Order" dataDxfId="35"/>
    <tableColumn id="6" xr3:uid="{42794C45-6BB4-CA4A-9F50-43A38B09FC16}" name="Personal Considerations" dataDxfId="34"/>
    <tableColumn id="4" xr3:uid="{3D20B346-AE99-42BF-AF4A-2E78EDCD8F0A}" name="Time Period" dataDxfId="3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3C2C9B-1527-4AA4-848B-9751E9948743}" name="Table5" displayName="Table5" ref="A3:E4" totalsRowShown="0">
  <autoFilter ref="A3:E4" xr:uid="{5C3C2C9B-1527-4AA4-848B-9751E9948743}"/>
  <tableColumns count="5">
    <tableColumn id="1" xr3:uid="{5F06856F-B3E1-420F-8818-FF0E0CB6D4C1}" name="Income" dataCellStyle="Currency"/>
    <tableColumn id="2" xr3:uid="{627C1500-A2E5-4EAC-912F-2F075FEFA8E4}" name="Expenses"/>
    <tableColumn id="3" xr3:uid="{A9D24073-0D6B-472A-B9FF-EBA39B655899}" name="Order"/>
    <tableColumn id="4" xr3:uid="{5A3F80B6-0413-43A8-BC8D-D406091A44BA}" name="Personal Considerations"/>
    <tableColumn id="5" xr3:uid="{F0772231-84B8-408F-8D7A-8AC715F0D3EA}" name="Time Peri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6E00F-5700-4D09-AB9B-5D10F23A6341}" name="Table6" displayName="Table6" ref="A3:E4" totalsRowShown="0">
  <autoFilter ref="A3:E4" xr:uid="{A156E00F-5700-4D09-AB9B-5D10F23A6341}"/>
  <tableColumns count="5">
    <tableColumn id="1" xr3:uid="{56A40B06-E02F-477E-95C5-909527EE3CF1}" name="Income"/>
    <tableColumn id="2" xr3:uid="{0E65061F-850A-4D8B-AAEE-ED200DC2078B}" name="Expenses"/>
    <tableColumn id="3" xr3:uid="{CB4600AA-DC39-480A-B9E3-37FB0AAB4477}" name="Order"/>
    <tableColumn id="4" xr3:uid="{097AABF9-C9D9-4365-9277-D6C83E199396}" name="Personal Considerations"/>
    <tableColumn id="5" xr3:uid="{DC716C92-BB3E-4A0A-9F18-C57461951ED8}" name="Time Peri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58E192-50EC-48EE-A75D-204C78A94A9C}" name="Table7" displayName="Table7" ref="A3:E4" totalsRowShown="0">
  <autoFilter ref="A3:E4" xr:uid="{FF58E192-50EC-48EE-A75D-204C78A94A9C}"/>
  <tableColumns count="5">
    <tableColumn id="1" xr3:uid="{9A72ED7D-85BB-43FC-A800-498C1F927835}" name="Income"/>
    <tableColumn id="2" xr3:uid="{CDCEE517-FF18-4D36-8FAE-0BE9756A71A4}" name="Expenses"/>
    <tableColumn id="3" xr3:uid="{F3371E00-AFBD-4D7E-A021-35256EB43D23}" name="Order"/>
    <tableColumn id="4" xr3:uid="{5AD3D590-9D41-424F-9FD2-CE9376053A56}" name="Personal Considerations"/>
    <tableColumn id="5" xr3:uid="{8024B778-CB5C-4FC2-B96D-295E68B151A8}" name="Time Peri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7CA95B-CA5D-4D8B-9FF6-67B904163A94}" name="Table8" displayName="Table8" ref="A3:E4" totalsRowShown="0">
  <autoFilter ref="A3:E4" xr:uid="{747CA95B-CA5D-4D8B-9FF6-67B904163A94}"/>
  <tableColumns count="5">
    <tableColumn id="1" xr3:uid="{7AB0E7B6-F030-499C-A8E0-385B6DE2ECB6}" name="Income"/>
    <tableColumn id="2" xr3:uid="{0BF48A80-1D97-462A-A612-ED7C5432AA38}" name="Expenses"/>
    <tableColumn id="3" xr3:uid="{1ADF4B11-0AC7-4B0C-915E-B2C6FF873EBD}" name="Order"/>
    <tableColumn id="4" xr3:uid="{E4DAF8A6-1BBC-4376-92ED-85DCCFE3CEB4}" name="Personal Considerations"/>
    <tableColumn id="5" xr3:uid="{DC12D98F-661B-4697-9B78-AA94AB07B442}" name="Time Perio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3C23E-664E-4D28-9666-8416FF8DEE13}" name="PresentWorth" displayName="PresentWorth" ref="A1:F25" totalsRowShown="0" headerRowDxfId="26" dataDxfId="25" tableBorderDxfId="24">
  <autoFilter ref="A1:F25" xr:uid="{71C3C23E-664E-4D28-9666-8416FF8DEE13}"/>
  <tableColumns count="6">
    <tableColumn id="1" xr3:uid="{5DFCEA7D-5A12-4762-A615-7A4489B67D60}" name="Inflow Future Value" dataDxfId="23"/>
    <tableColumn id="2" xr3:uid="{5D0AEE3E-8EBB-481E-B830-A1F45EAAC81D}" name="Outflow Future Value" dataDxfId="22"/>
    <tableColumn id="3" xr3:uid="{74F9AD2C-B28F-4C44-B678-9F4D9350388B}" name="Interest Rate" dataDxfId="21"/>
    <tableColumn id="4" xr3:uid="{6777F58F-C069-42F7-8002-C6A6C776F7A9}" name="Time" dataDxfId="20"/>
    <tableColumn id="5" xr3:uid="{0E3EBB65-1133-4589-8A95-1D58CCFE3696}" name="Inflow PW" dataDxfId="19"/>
    <tableColumn id="6" xr3:uid="{31781CFC-4AF1-4A40-9066-D58329BE5246}" name="Outflow PW" dataDxfId="1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AC90F-96EF-46F2-82BD-284626AAEC86}" name="ExtraTable" displayName="ExtraTable" ref="A1:D25" totalsRowShown="0" headerRowDxfId="17" dataDxfId="16">
  <autoFilter ref="A1:D25" xr:uid="{D6FAC90F-96EF-46F2-82BD-284626AAEC86}"/>
  <tableColumns count="4">
    <tableColumn id="1" xr3:uid="{8C554CD9-1AE9-4AE6-9392-F085F4C4C720}" name="Income" dataDxfId="15"/>
    <tableColumn id="2" xr3:uid="{BE052D2A-1743-42F7-95D0-D9D56BB72F10}" name="Expenses" dataDxfId="14"/>
    <tableColumn id="3" xr3:uid="{2F124008-1BEB-441E-9EE1-4530C6333D6C}" name="Order" dataDxfId="13"/>
    <tableColumn id="4" xr3:uid="{3D1C2A57-6391-4888-9804-FD65934E4E1C}" name="Time"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58E0FC-BD01-4D26-93AE-8A4A8EA88588}">
  <we:reference id="wa200000113" version="1.0.0.0" store="en-CA" storeType="OMEX"/>
  <we:alternateReferences>
    <we:reference id="WA200000113"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D0AA-13D1-4D93-8B1D-D33FBA010A51}">
  <dimension ref="A1:F20"/>
  <sheetViews>
    <sheetView zoomScale="102" zoomScaleNormal="102" workbookViewId="0">
      <selection activeCell="A9" sqref="A9"/>
    </sheetView>
  </sheetViews>
  <sheetFormatPr defaultColWidth="8.88671875" defaultRowHeight="13.8" x14ac:dyDescent="0.25"/>
  <cols>
    <col min="1" max="1" width="12.109375" style="8" bestFit="1" customWidth="1"/>
    <col min="2" max="2" width="11.33203125" style="8" bestFit="1" customWidth="1"/>
    <col min="3" max="3" width="7.88671875" style="9" bestFit="1" customWidth="1"/>
    <col min="4" max="4" width="62.109375" style="9" bestFit="1" customWidth="1"/>
    <col min="5" max="5" width="13.5546875" style="8" customWidth="1"/>
    <col min="6" max="6" width="8.88671875" style="12"/>
    <col min="7" max="9" width="8.88671875" style="11"/>
    <col min="10" max="10" width="12.44140625" style="11" bestFit="1" customWidth="1"/>
    <col min="11" max="11" width="13.6640625" style="11" bestFit="1" customWidth="1"/>
    <col min="12" max="12" width="15.44140625" style="11" bestFit="1" customWidth="1"/>
    <col min="13" max="16384" width="8.88671875" style="11"/>
  </cols>
  <sheetData>
    <row r="1" spans="1:6" x14ac:dyDescent="0.25">
      <c r="A1" s="8" t="s">
        <v>0</v>
      </c>
      <c r="B1" s="8" t="s">
        <v>1</v>
      </c>
      <c r="C1" s="9" t="s">
        <v>2</v>
      </c>
      <c r="D1" s="9" t="s">
        <v>3</v>
      </c>
      <c r="E1" s="10" t="s">
        <v>4</v>
      </c>
      <c r="F1" s="11"/>
    </row>
    <row r="2" spans="1:6" ht="14.4" x14ac:dyDescent="0.3">
      <c r="A2" s="22">
        <v>3997.4</v>
      </c>
      <c r="B2" s="22">
        <v>-4272.08</v>
      </c>
      <c r="C2" s="21">
        <v>1</v>
      </c>
      <c r="D2" s="20" t="s">
        <v>16</v>
      </c>
      <c r="E2" s="21">
        <v>1</v>
      </c>
      <c r="F2" s="11"/>
    </row>
    <row r="3" spans="1:6" ht="14.4" x14ac:dyDescent="0.3">
      <c r="A3" s="23">
        <v>3997.4</v>
      </c>
      <c r="B3" s="23">
        <v>-897.08</v>
      </c>
      <c r="C3" s="12">
        <v>2</v>
      </c>
      <c r="D3" s="12" t="s">
        <v>17</v>
      </c>
      <c r="E3" s="12">
        <v>2</v>
      </c>
      <c r="F3" s="11"/>
    </row>
    <row r="4" spans="1:6" ht="14.4" x14ac:dyDescent="0.3">
      <c r="A4" s="22">
        <v>3997.4</v>
      </c>
      <c r="B4" s="22">
        <v>-897.08</v>
      </c>
      <c r="C4" s="21">
        <v>3</v>
      </c>
      <c r="D4" s="21" t="s">
        <v>15</v>
      </c>
      <c r="E4" s="21">
        <v>3</v>
      </c>
      <c r="F4" s="11"/>
    </row>
    <row r="5" spans="1:6" ht="14.4" x14ac:dyDescent="0.3">
      <c r="A5" s="23">
        <v>3997.4</v>
      </c>
      <c r="B5" s="23">
        <v>-1997.08</v>
      </c>
      <c r="C5" s="12">
        <v>4</v>
      </c>
      <c r="D5" s="12" t="s">
        <v>18</v>
      </c>
      <c r="E5" s="12">
        <v>4</v>
      </c>
      <c r="F5" s="11"/>
    </row>
    <row r="6" spans="1:6" ht="14.4" x14ac:dyDescent="0.3">
      <c r="A6" s="22">
        <v>3997.4</v>
      </c>
      <c r="B6" s="23">
        <v>-1997.08</v>
      </c>
      <c r="C6" s="21">
        <v>5</v>
      </c>
      <c r="D6" s="21" t="s">
        <v>15</v>
      </c>
      <c r="E6" s="21">
        <v>5</v>
      </c>
      <c r="F6" s="11"/>
    </row>
    <row r="7" spans="1:6" ht="14.4" x14ac:dyDescent="0.3">
      <c r="A7" s="23">
        <v>3997.4</v>
      </c>
      <c r="B7" s="23">
        <v>-1997.08</v>
      </c>
      <c r="C7" s="12">
        <v>6</v>
      </c>
      <c r="D7" s="12" t="s">
        <v>15</v>
      </c>
      <c r="E7" s="12">
        <v>6</v>
      </c>
      <c r="F7" s="11"/>
    </row>
    <row r="8" spans="1:6" ht="14.4" x14ac:dyDescent="0.3">
      <c r="A8" s="22">
        <v>3997.4</v>
      </c>
      <c r="B8" s="23">
        <v>-1997.08</v>
      </c>
      <c r="C8" s="21">
        <v>7</v>
      </c>
      <c r="D8" s="21" t="s">
        <v>15</v>
      </c>
      <c r="E8" s="21">
        <v>7</v>
      </c>
      <c r="F8" s="11"/>
    </row>
    <row r="9" spans="1:6" ht="14.4" x14ac:dyDescent="0.3">
      <c r="A9" s="23">
        <f>SUM(3997.4+3000)</f>
        <v>6997.4</v>
      </c>
      <c r="B9" s="23">
        <v>-1997.08</v>
      </c>
      <c r="C9" s="12">
        <v>8</v>
      </c>
      <c r="D9" s="12" t="s">
        <v>19</v>
      </c>
      <c r="E9" s="12">
        <v>8</v>
      </c>
      <c r="F9" s="11"/>
    </row>
    <row r="10" spans="1:6" x14ac:dyDescent="0.25">
      <c r="A10" s="39"/>
      <c r="B10" s="39"/>
      <c r="C10" s="41"/>
      <c r="D10" s="21"/>
      <c r="E10" s="38"/>
      <c r="F10" s="11"/>
    </row>
    <row r="11" spans="1:6" x14ac:dyDescent="0.25">
      <c r="A11" s="40"/>
      <c r="B11" s="40"/>
      <c r="C11" s="42"/>
      <c r="D11" s="12"/>
      <c r="E11" s="10"/>
      <c r="F11" s="11"/>
    </row>
    <row r="12" spans="1:6" x14ac:dyDescent="0.25">
      <c r="A12" s="39"/>
      <c r="B12" s="39"/>
      <c r="C12" s="41"/>
      <c r="D12" s="21"/>
      <c r="E12" s="38"/>
      <c r="F12" s="11"/>
    </row>
    <row r="13" spans="1:6" x14ac:dyDescent="0.25">
      <c r="A13" s="40"/>
      <c r="B13" s="40"/>
      <c r="C13" s="42"/>
      <c r="D13" s="12"/>
      <c r="E13" s="10"/>
      <c r="F13" s="11"/>
    </row>
    <row r="14" spans="1:6" x14ac:dyDescent="0.25">
      <c r="A14" s="39"/>
      <c r="B14" s="39"/>
      <c r="C14" s="41"/>
      <c r="D14" s="21"/>
      <c r="E14" s="38"/>
      <c r="F14" s="11"/>
    </row>
    <row r="15" spans="1:6" x14ac:dyDescent="0.25">
      <c r="A15" s="40"/>
      <c r="B15" s="40"/>
      <c r="C15" s="42"/>
      <c r="D15" s="12"/>
      <c r="E15" s="10"/>
      <c r="F15" s="11"/>
    </row>
    <row r="16" spans="1:6" x14ac:dyDescent="0.25">
      <c r="A16" s="39"/>
      <c r="B16" s="39"/>
      <c r="C16" s="41"/>
      <c r="D16" s="21"/>
      <c r="E16" s="38"/>
      <c r="F16" s="11"/>
    </row>
    <row r="17" spans="1:6" x14ac:dyDescent="0.25">
      <c r="A17" s="40"/>
      <c r="B17" s="40"/>
      <c r="C17" s="42"/>
      <c r="D17" s="12"/>
      <c r="E17" s="10"/>
      <c r="F17" s="11"/>
    </row>
    <row r="18" spans="1:6" x14ac:dyDescent="0.25">
      <c r="A18" s="25"/>
      <c r="F18" s="11"/>
    </row>
    <row r="19" spans="1:6" x14ac:dyDescent="0.25">
      <c r="A19" s="8" t="s">
        <v>26</v>
      </c>
      <c r="F19" s="11"/>
    </row>
    <row r="20" spans="1:6" x14ac:dyDescent="0.25">
      <c r="A20" s="8" t="s">
        <v>28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BB8B-DA18-4381-B458-23FF07DDBFF8}">
  <dimension ref="A1:E5"/>
  <sheetViews>
    <sheetView workbookViewId="0">
      <selection activeCell="A4" sqref="A4"/>
    </sheetView>
  </sheetViews>
  <sheetFormatPr defaultRowHeight="14.4" x14ac:dyDescent="0.3"/>
  <cols>
    <col min="1" max="1" width="10.44140625" bestFit="1" customWidth="1"/>
    <col min="2" max="2" width="11" bestFit="1" customWidth="1"/>
    <col min="3" max="3" width="9" bestFit="1" customWidth="1"/>
    <col min="4" max="4" width="23.6640625" bestFit="1" customWidth="1"/>
    <col min="5" max="5" width="13.109375" bestFit="1" customWidth="1"/>
  </cols>
  <sheetData>
    <row r="1" spans="1:5" x14ac:dyDescent="0.3">
      <c r="A1" s="24" t="s">
        <v>20</v>
      </c>
    </row>
    <row r="3" spans="1:5" x14ac:dyDescent="0.3">
      <c r="A3" t="s">
        <v>0</v>
      </c>
      <c r="B3" t="s">
        <v>1</v>
      </c>
      <c r="C3" t="s">
        <v>2</v>
      </c>
      <c r="D3" t="s">
        <v>3</v>
      </c>
      <c r="E3" t="s">
        <v>4</v>
      </c>
    </row>
    <row r="4" spans="1:5" x14ac:dyDescent="0.3">
      <c r="A4" s="23">
        <v>4301.55</v>
      </c>
      <c r="C4">
        <v>1</v>
      </c>
      <c r="E4">
        <v>1</v>
      </c>
    </row>
    <row r="5" spans="1:5" x14ac:dyDescent="0.3">
      <c r="A5" s="2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207D-D720-4D1F-9AEB-69D9430DBC9D}">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4" t="s">
        <v>21</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1876-05DB-461A-B2B8-1111FD37EA2C}">
  <dimension ref="A1:E4"/>
  <sheetViews>
    <sheetView workbookViewId="0">
      <selection activeCell="B8" sqref="B8"/>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4" t="s">
        <v>20</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4DC8-38CE-4695-9158-821E458CC49B}">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4" t="s">
        <v>22</v>
      </c>
    </row>
    <row r="3" spans="1:5" x14ac:dyDescent="0.3">
      <c r="A3" t="s">
        <v>0</v>
      </c>
      <c r="B3" t="s">
        <v>1</v>
      </c>
      <c r="C3" t="s">
        <v>2</v>
      </c>
      <c r="D3" t="s">
        <v>3</v>
      </c>
      <c r="E3" t="s">
        <v>4</v>
      </c>
    </row>
    <row r="4" spans="1:5" x14ac:dyDescent="0.3">
      <c r="C4">
        <v>16</v>
      </c>
      <c r="E4">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B376-C413-4EE8-B344-5B0FF20B5EC4}">
  <dimension ref="A1:M41"/>
  <sheetViews>
    <sheetView tabSelected="1" topLeftCell="A13" zoomScaleNormal="100" workbookViewId="0">
      <selection activeCell="E22" sqref="E22:M38"/>
    </sheetView>
  </sheetViews>
  <sheetFormatPr defaultColWidth="8.88671875" defaultRowHeight="13.8" x14ac:dyDescent="0.25"/>
  <cols>
    <col min="1" max="1" width="14.21875" style="11" bestFit="1" customWidth="1"/>
    <col min="2" max="2" width="12.33203125" style="11" bestFit="1" customWidth="1"/>
    <col min="3" max="3" width="14.33203125" style="11" bestFit="1" customWidth="1"/>
    <col min="4" max="16384" width="8.88671875" style="11"/>
  </cols>
  <sheetData>
    <row r="1" spans="1:3" x14ac:dyDescent="0.25">
      <c r="A1" s="18" t="s">
        <v>5</v>
      </c>
      <c r="B1" s="19" t="s">
        <v>6</v>
      </c>
      <c r="C1" s="19" t="s">
        <v>7</v>
      </c>
    </row>
    <row r="2" spans="1:3" x14ac:dyDescent="0.25">
      <c r="A2" s="12">
        <v>1</v>
      </c>
      <c r="B2" s="52">
        <v>3997.4</v>
      </c>
      <c r="C2" s="52">
        <v>-4272.08</v>
      </c>
    </row>
    <row r="3" spans="1:3" x14ac:dyDescent="0.25">
      <c r="A3" s="12">
        <v>2</v>
      </c>
      <c r="B3" s="52">
        <v>3997.4</v>
      </c>
      <c r="C3" s="52">
        <v>-897.08</v>
      </c>
    </row>
    <row r="4" spans="1:3" x14ac:dyDescent="0.25">
      <c r="A4" s="12">
        <v>3</v>
      </c>
      <c r="B4" s="52">
        <v>3997.4</v>
      </c>
      <c r="C4" s="52">
        <v>-897.08</v>
      </c>
    </row>
    <row r="5" spans="1:3" x14ac:dyDescent="0.25">
      <c r="A5" s="12">
        <v>4</v>
      </c>
      <c r="B5" s="52">
        <v>3997.4</v>
      </c>
      <c r="C5" s="52">
        <v>-1997.08</v>
      </c>
    </row>
    <row r="6" spans="1:3" x14ac:dyDescent="0.25">
      <c r="A6" s="12">
        <v>5</v>
      </c>
      <c r="B6" s="52">
        <v>3997.4</v>
      </c>
      <c r="C6" s="52">
        <v>-1997.08</v>
      </c>
    </row>
    <row r="7" spans="1:3" x14ac:dyDescent="0.25">
      <c r="A7" s="12">
        <v>6</v>
      </c>
      <c r="B7" s="52">
        <v>3997.4</v>
      </c>
      <c r="C7" s="52">
        <v>-1997.08</v>
      </c>
    </row>
    <row r="8" spans="1:3" x14ac:dyDescent="0.25">
      <c r="A8" s="12">
        <v>7</v>
      </c>
      <c r="B8" s="52">
        <v>3997.4</v>
      </c>
      <c r="C8" s="52">
        <v>-1997.08</v>
      </c>
    </row>
    <row r="9" spans="1:3" x14ac:dyDescent="0.25">
      <c r="A9" s="12">
        <v>8</v>
      </c>
      <c r="B9" s="52">
        <v>6997.4</v>
      </c>
      <c r="C9" s="52">
        <v>-1997.08</v>
      </c>
    </row>
    <row r="10" spans="1:3" x14ac:dyDescent="0.25">
      <c r="A10" s="12" t="s">
        <v>27</v>
      </c>
      <c r="B10" s="52"/>
      <c r="C10" s="52"/>
    </row>
    <row r="11" spans="1:3" x14ac:dyDescent="0.25">
      <c r="A11" s="12" t="s">
        <v>8</v>
      </c>
      <c r="B11" s="52">
        <v>34979.200000000004</v>
      </c>
      <c r="C11" s="52">
        <v>-16051.64</v>
      </c>
    </row>
    <row r="12" spans="1:3" ht="14.4" x14ac:dyDescent="0.3">
      <c r="A12"/>
      <c r="B12"/>
      <c r="C12"/>
    </row>
    <row r="13" spans="1:3" ht="14.4" x14ac:dyDescent="0.3">
      <c r="A13"/>
      <c r="B13"/>
      <c r="C13"/>
    </row>
    <row r="14" spans="1:3" ht="14.4" x14ac:dyDescent="0.3">
      <c r="A14"/>
      <c r="B14"/>
      <c r="C14"/>
    </row>
    <row r="15" spans="1:3" ht="14.4" x14ac:dyDescent="0.3">
      <c r="A15"/>
      <c r="B15"/>
      <c r="C15"/>
    </row>
    <row r="16" spans="1:3" ht="14.4" x14ac:dyDescent="0.3">
      <c r="A16"/>
      <c r="B16"/>
      <c r="C16"/>
    </row>
    <row r="17" spans="1:13" ht="14.4" x14ac:dyDescent="0.3">
      <c r="A17"/>
      <c r="B17"/>
      <c r="C17"/>
    </row>
    <row r="18" spans="1:13" ht="14.4" x14ac:dyDescent="0.3">
      <c r="A18"/>
      <c r="B18"/>
      <c r="C18"/>
    </row>
    <row r="19" spans="1:13" ht="14.4" x14ac:dyDescent="0.3">
      <c r="A19"/>
      <c r="B19"/>
      <c r="C19"/>
    </row>
    <row r="22" spans="1:13" ht="14.4" customHeight="1" x14ac:dyDescent="0.25">
      <c r="E22" s="43" t="s">
        <v>29</v>
      </c>
      <c r="F22" s="44"/>
      <c r="G22" s="44"/>
      <c r="H22" s="44"/>
      <c r="I22" s="44"/>
      <c r="J22" s="44"/>
      <c r="K22" s="44"/>
      <c r="L22" s="44"/>
      <c r="M22" s="45"/>
    </row>
    <row r="23" spans="1:13" ht="14.4" customHeight="1" x14ac:dyDescent="0.25">
      <c r="E23" s="46"/>
      <c r="F23" s="47"/>
      <c r="G23" s="47"/>
      <c r="H23" s="47"/>
      <c r="I23" s="47"/>
      <c r="J23" s="47"/>
      <c r="K23" s="47"/>
      <c r="L23" s="47"/>
      <c r="M23" s="48"/>
    </row>
    <row r="24" spans="1:13" ht="14.4" customHeight="1" x14ac:dyDescent="0.25">
      <c r="E24" s="46"/>
      <c r="F24" s="47"/>
      <c r="G24" s="47"/>
      <c r="H24" s="47"/>
      <c r="I24" s="47"/>
      <c r="J24" s="47"/>
      <c r="K24" s="47"/>
      <c r="L24" s="47"/>
      <c r="M24" s="48"/>
    </row>
    <row r="25" spans="1:13" ht="14.4" customHeight="1" x14ac:dyDescent="0.25">
      <c r="E25" s="46"/>
      <c r="F25" s="47"/>
      <c r="G25" s="47"/>
      <c r="H25" s="47"/>
      <c r="I25" s="47"/>
      <c r="J25" s="47"/>
      <c r="K25" s="47"/>
      <c r="L25" s="47"/>
      <c r="M25" s="48"/>
    </row>
    <row r="26" spans="1:13" ht="14.4" customHeight="1" x14ac:dyDescent="0.25">
      <c r="E26" s="46"/>
      <c r="F26" s="47"/>
      <c r="G26" s="47"/>
      <c r="H26" s="47"/>
      <c r="I26" s="47"/>
      <c r="J26" s="47"/>
      <c r="K26" s="47"/>
      <c r="L26" s="47"/>
      <c r="M26" s="48"/>
    </row>
    <row r="27" spans="1:13" ht="14.4" customHeight="1" x14ac:dyDescent="0.25">
      <c r="E27" s="46"/>
      <c r="F27" s="47"/>
      <c r="G27" s="47"/>
      <c r="H27" s="47"/>
      <c r="I27" s="47"/>
      <c r="J27" s="47"/>
      <c r="K27" s="47"/>
      <c r="L27" s="47"/>
      <c r="M27" s="48"/>
    </row>
    <row r="28" spans="1:13" ht="14.4" customHeight="1" x14ac:dyDescent="0.25">
      <c r="E28" s="46"/>
      <c r="F28" s="47"/>
      <c r="G28" s="47"/>
      <c r="H28" s="47"/>
      <c r="I28" s="47"/>
      <c r="J28" s="47"/>
      <c r="K28" s="47"/>
      <c r="L28" s="47"/>
      <c r="M28" s="48"/>
    </row>
    <row r="29" spans="1:13" ht="14.4" customHeight="1" x14ac:dyDescent="0.25">
      <c r="E29" s="46"/>
      <c r="F29" s="47"/>
      <c r="G29" s="47"/>
      <c r="H29" s="47"/>
      <c r="I29" s="47"/>
      <c r="J29" s="47"/>
      <c r="K29" s="47"/>
      <c r="L29" s="47"/>
      <c r="M29" s="48"/>
    </row>
    <row r="30" spans="1:13" ht="14.4" customHeight="1" x14ac:dyDescent="0.25">
      <c r="E30" s="46"/>
      <c r="F30" s="47"/>
      <c r="G30" s="47"/>
      <c r="H30" s="47"/>
      <c r="I30" s="47"/>
      <c r="J30" s="47"/>
      <c r="K30" s="47"/>
      <c r="L30" s="47"/>
      <c r="M30" s="48"/>
    </row>
    <row r="31" spans="1:13" ht="14.4" customHeight="1" x14ac:dyDescent="0.25">
      <c r="E31" s="46"/>
      <c r="F31" s="47"/>
      <c r="G31" s="47"/>
      <c r="H31" s="47"/>
      <c r="I31" s="47"/>
      <c r="J31" s="47"/>
      <c r="K31" s="47"/>
      <c r="L31" s="47"/>
      <c r="M31" s="48"/>
    </row>
    <row r="32" spans="1:13" ht="14.4" customHeight="1" x14ac:dyDescent="0.25">
      <c r="E32" s="46"/>
      <c r="F32" s="47"/>
      <c r="G32" s="47"/>
      <c r="H32" s="47"/>
      <c r="I32" s="47"/>
      <c r="J32" s="47"/>
      <c r="K32" s="47"/>
      <c r="L32" s="47"/>
      <c r="M32" s="48"/>
    </row>
    <row r="33" spans="5:13" ht="14.4" customHeight="1" x14ac:dyDescent="0.25">
      <c r="E33" s="46"/>
      <c r="F33" s="47"/>
      <c r="G33" s="47"/>
      <c r="H33" s="47"/>
      <c r="I33" s="47"/>
      <c r="J33" s="47"/>
      <c r="K33" s="47"/>
      <c r="L33" s="47"/>
      <c r="M33" s="48"/>
    </row>
    <row r="34" spans="5:13" ht="14.4" customHeight="1" x14ac:dyDescent="0.25">
      <c r="E34" s="46"/>
      <c r="F34" s="47"/>
      <c r="G34" s="47"/>
      <c r="H34" s="47"/>
      <c r="I34" s="47"/>
      <c r="J34" s="47"/>
      <c r="K34" s="47"/>
      <c r="L34" s="47"/>
      <c r="M34" s="48"/>
    </row>
    <row r="35" spans="5:13" ht="14.4" customHeight="1" x14ac:dyDescent="0.25">
      <c r="E35" s="46"/>
      <c r="F35" s="47"/>
      <c r="G35" s="47"/>
      <c r="H35" s="47"/>
      <c r="I35" s="47"/>
      <c r="J35" s="47"/>
      <c r="K35" s="47"/>
      <c r="L35" s="47"/>
      <c r="M35" s="48"/>
    </row>
    <row r="36" spans="5:13" ht="14.4" customHeight="1" x14ac:dyDescent="0.25">
      <c r="E36" s="46"/>
      <c r="F36" s="47"/>
      <c r="G36" s="47"/>
      <c r="H36" s="47"/>
      <c r="I36" s="47"/>
      <c r="J36" s="47"/>
      <c r="K36" s="47"/>
      <c r="L36" s="47"/>
      <c r="M36" s="48"/>
    </row>
    <row r="37" spans="5:13" ht="14.4" customHeight="1" x14ac:dyDescent="0.25">
      <c r="E37" s="46"/>
      <c r="F37" s="47"/>
      <c r="G37" s="47"/>
      <c r="H37" s="47"/>
      <c r="I37" s="47"/>
      <c r="J37" s="47"/>
      <c r="K37" s="47"/>
      <c r="L37" s="47"/>
      <c r="M37" s="48"/>
    </row>
    <row r="38" spans="5:13" ht="14.4" customHeight="1" x14ac:dyDescent="0.25">
      <c r="E38" s="49"/>
      <c r="F38" s="50"/>
      <c r="G38" s="50"/>
      <c r="H38" s="50"/>
      <c r="I38" s="50"/>
      <c r="J38" s="50"/>
      <c r="K38" s="50"/>
      <c r="L38" s="50"/>
      <c r="M38" s="51"/>
    </row>
    <row r="40" spans="5:13" x14ac:dyDescent="0.25">
      <c r="E40" s="17" t="s">
        <v>30</v>
      </c>
    </row>
    <row r="41" spans="5:13" ht="14.4" x14ac:dyDescent="0.25">
      <c r="E41" s="53" t="s">
        <v>31</v>
      </c>
    </row>
  </sheetData>
  <mergeCells count="1">
    <mergeCell ref="E22:M38"/>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E9D8-5026-9240-8D80-1EAC74298073}">
  <dimension ref="A1:O25"/>
  <sheetViews>
    <sheetView workbookViewId="0">
      <selection activeCell="J12" sqref="J12"/>
    </sheetView>
  </sheetViews>
  <sheetFormatPr defaultColWidth="11.44140625" defaultRowHeight="14.4" x14ac:dyDescent="0.3"/>
  <cols>
    <col min="1" max="1" width="18.5546875" customWidth="1"/>
    <col min="2" max="2" width="20" customWidth="1"/>
    <col min="3" max="3" width="13.44140625" customWidth="1"/>
    <col min="4" max="4" width="11.88671875" bestFit="1" customWidth="1"/>
    <col min="6" max="6" width="12.44140625" customWidth="1"/>
    <col min="9" max="9" width="54" bestFit="1" customWidth="1"/>
  </cols>
  <sheetData>
    <row r="1" spans="1:15" x14ac:dyDescent="0.3">
      <c r="A1" s="4" t="s">
        <v>9</v>
      </c>
      <c r="B1" s="5" t="s">
        <v>10</v>
      </c>
      <c r="C1" s="5" t="s">
        <v>11</v>
      </c>
      <c r="D1" s="5" t="s">
        <v>12</v>
      </c>
      <c r="E1" s="6" t="s">
        <v>13</v>
      </c>
      <c r="F1" s="7" t="s">
        <v>14</v>
      </c>
      <c r="G1" s="2"/>
      <c r="H1" s="2"/>
      <c r="I1" s="2"/>
      <c r="J1" s="2"/>
      <c r="K1" s="2"/>
      <c r="L1" s="2"/>
      <c r="M1" s="2"/>
      <c r="N1" s="2"/>
      <c r="O1" s="2"/>
    </row>
    <row r="2" spans="1:15" x14ac:dyDescent="0.3">
      <c r="A2" s="13"/>
      <c r="B2" s="13"/>
      <c r="C2" s="29"/>
      <c r="D2" s="30"/>
      <c r="E2" s="31"/>
      <c r="F2" s="31"/>
      <c r="G2" s="3"/>
      <c r="H2" s="3"/>
      <c r="I2" s="3"/>
      <c r="J2" s="3"/>
      <c r="K2" s="3"/>
      <c r="L2" s="3"/>
      <c r="M2" s="3"/>
      <c r="N2" s="3"/>
      <c r="O2" s="3"/>
    </row>
    <row r="3" spans="1:15" x14ac:dyDescent="0.3">
      <c r="A3" s="14"/>
      <c r="B3" s="14"/>
      <c r="C3" s="32"/>
      <c r="D3" s="33"/>
      <c r="E3" s="34"/>
      <c r="F3" s="34"/>
      <c r="G3" s="2"/>
      <c r="H3" s="2"/>
      <c r="I3" s="2"/>
      <c r="J3" s="2"/>
      <c r="K3" s="2"/>
      <c r="L3" s="2"/>
      <c r="M3" s="2"/>
      <c r="N3" s="2"/>
      <c r="O3" s="2"/>
    </row>
    <row r="4" spans="1:15" x14ac:dyDescent="0.3">
      <c r="A4" s="13"/>
      <c r="B4" s="13"/>
      <c r="C4" s="29"/>
      <c r="D4" s="30"/>
      <c r="E4" s="31"/>
      <c r="F4" s="31"/>
      <c r="G4" s="1"/>
      <c r="H4" s="1"/>
      <c r="I4" s="1"/>
      <c r="J4" s="1"/>
      <c r="K4" s="1"/>
      <c r="L4" s="1"/>
      <c r="M4" s="1"/>
      <c r="N4" s="1"/>
      <c r="O4" s="1"/>
    </row>
    <row r="5" spans="1:15" x14ac:dyDescent="0.3">
      <c r="A5" s="14"/>
      <c r="B5" s="14"/>
      <c r="C5" s="32"/>
      <c r="D5" s="33"/>
      <c r="E5" s="34"/>
      <c r="F5" s="34"/>
      <c r="G5" s="2"/>
      <c r="H5" s="2"/>
      <c r="I5" s="2"/>
      <c r="J5" s="2"/>
      <c r="K5" s="2"/>
      <c r="L5" s="2"/>
      <c r="M5" s="2"/>
      <c r="N5" s="2"/>
      <c r="O5" s="2"/>
    </row>
    <row r="6" spans="1:15" x14ac:dyDescent="0.3">
      <c r="A6" s="13"/>
      <c r="B6" s="13"/>
      <c r="C6" s="29"/>
      <c r="D6" s="30"/>
      <c r="E6" s="31"/>
      <c r="F6" s="31"/>
      <c r="G6" s="2"/>
      <c r="H6" s="2"/>
      <c r="I6" s="2"/>
      <c r="J6" s="27"/>
      <c r="K6" s="2"/>
      <c r="L6" s="2"/>
      <c r="M6" s="2"/>
      <c r="N6" s="2"/>
      <c r="O6" s="2"/>
    </row>
    <row r="7" spans="1:15" x14ac:dyDescent="0.3">
      <c r="A7" s="14"/>
      <c r="B7" s="14"/>
      <c r="C7" s="32"/>
      <c r="D7" s="33"/>
      <c r="E7" s="34"/>
      <c r="F7" s="34"/>
      <c r="G7" s="2"/>
      <c r="H7" s="2"/>
      <c r="I7" s="2"/>
      <c r="J7" s="27"/>
      <c r="K7" s="2"/>
      <c r="L7" s="2"/>
      <c r="M7" s="2"/>
      <c r="N7" s="2"/>
      <c r="O7" s="2"/>
    </row>
    <row r="8" spans="1:15" x14ac:dyDescent="0.3">
      <c r="A8" s="13"/>
      <c r="B8" s="13"/>
      <c r="C8" s="29"/>
      <c r="D8" s="30"/>
      <c r="E8" s="31"/>
      <c r="F8" s="31"/>
      <c r="G8" s="2"/>
      <c r="H8" s="2"/>
      <c r="I8" s="2"/>
      <c r="J8" s="28"/>
      <c r="K8" s="2"/>
      <c r="L8" s="2"/>
      <c r="M8" s="2"/>
      <c r="N8" s="2"/>
      <c r="O8" s="2"/>
    </row>
    <row r="9" spans="1:15" x14ac:dyDescent="0.3">
      <c r="A9" s="26"/>
      <c r="B9" s="14"/>
      <c r="C9" s="32"/>
      <c r="D9" s="33"/>
      <c r="E9" s="34"/>
      <c r="F9" s="34"/>
      <c r="G9" s="2"/>
      <c r="H9" s="2"/>
      <c r="I9" s="2"/>
      <c r="J9" s="2"/>
      <c r="K9" s="2"/>
      <c r="L9" s="2"/>
      <c r="M9" s="2"/>
      <c r="N9" s="2"/>
      <c r="O9" s="2"/>
    </row>
    <row r="10" spans="1:15" x14ac:dyDescent="0.3">
      <c r="A10" s="13">
        <v>3997.4</v>
      </c>
      <c r="B10" s="13">
        <v>-4272.08</v>
      </c>
      <c r="C10" s="29">
        <f t="shared" ref="C10:C17" si="0">0.05/26</f>
        <v>1.9230769230769232E-3</v>
      </c>
      <c r="D10" s="30">
        <f>26/12</f>
        <v>2.1666666666666665</v>
      </c>
      <c r="E10" s="31">
        <f>PresentWorth[[#This Row],[Inflow Future Value]]/ (1 + PresentWorth[[#This Row],[Interest Rate]]) ^ PresentWorth[[#This Row],[Time]]</f>
        <v>3980.7947464230747</v>
      </c>
      <c r="F10" s="31">
        <f>PresentWorth[[#This Row],[Outflow Future Value]]/ ((1 + PresentWorth[[#This Row],[Interest Rate]]) ^ PresentWorth[[#This Row],[Time]])</f>
        <v>-4254.3337219940686</v>
      </c>
      <c r="G10" s="2"/>
      <c r="H10" s="2"/>
      <c r="I10" s="2" t="s">
        <v>23</v>
      </c>
      <c r="J10" s="27">
        <f>SUM(E10:E17)</f>
        <v>34288.910292095054</v>
      </c>
      <c r="K10" s="2"/>
      <c r="L10" s="2"/>
      <c r="M10" s="2"/>
      <c r="N10" s="2"/>
      <c r="O10" s="2"/>
    </row>
    <row r="11" spans="1:15" x14ac:dyDescent="0.3">
      <c r="A11" s="14">
        <v>3997.4</v>
      </c>
      <c r="B11" s="14">
        <v>-897.08</v>
      </c>
      <c r="C11" s="32">
        <f t="shared" si="0"/>
        <v>1.9230769230769232E-3</v>
      </c>
      <c r="D11" s="33">
        <f>D10*2</f>
        <v>4.333333333333333</v>
      </c>
      <c r="E11" s="34">
        <f>PresentWorth[[#This Row],[Inflow Future Value]]/ (1 + PresentWorth[[#This Row],[Interest Rate]]) ^ PresentWorth[[#This Row],[Time]]</f>
        <v>3964.2584712937296</v>
      </c>
      <c r="F11" s="34">
        <f>PresentWorth[[#This Row],[Outflow Future Value]]/ ((1 + PresentWorth[[#This Row],[Interest Rate]]) ^ PresentWorth[[#This Row],[Time]])</f>
        <v>-889.64251499178943</v>
      </c>
      <c r="G11" s="2"/>
      <c r="H11" s="2"/>
      <c r="I11" s="2" t="s">
        <v>24</v>
      </c>
      <c r="J11" s="27">
        <f>SUM(F10:F17)</f>
        <v>-15769.185328555206</v>
      </c>
      <c r="K11" s="2"/>
      <c r="L11" s="2"/>
      <c r="M11" s="2"/>
      <c r="N11" s="2"/>
      <c r="O11" s="2"/>
    </row>
    <row r="12" spans="1:15" x14ac:dyDescent="0.3">
      <c r="A12" s="13">
        <v>3997.4</v>
      </c>
      <c r="B12" s="13">
        <v>-897.08</v>
      </c>
      <c r="C12" s="29">
        <f t="shared" si="0"/>
        <v>1.9230769230769232E-3</v>
      </c>
      <c r="D12" s="30">
        <f>D10*3</f>
        <v>6.5</v>
      </c>
      <c r="E12" s="31">
        <f>PresentWorth[[#This Row],[Inflow Future Value]]/ (1 + PresentWorth[[#This Row],[Interest Rate]]) ^ PresentWorth[[#This Row],[Time]]</f>
        <v>3947.7908880745599</v>
      </c>
      <c r="F12" s="31">
        <f>PresentWorth[[#This Row],[Outflow Future Value]]/ ((1 + PresentWorth[[#This Row],[Interest Rate]]) ^ PresentWorth[[#This Row],[Time]])</f>
        <v>-885.94692797166317</v>
      </c>
      <c r="G12" s="2"/>
      <c r="H12" s="2"/>
      <c r="I12" s="2" t="s">
        <v>25</v>
      </c>
      <c r="J12" s="27">
        <f>J10+J11</f>
        <v>18519.724963539848</v>
      </c>
      <c r="K12" s="2"/>
      <c r="L12" s="2"/>
      <c r="M12" s="2"/>
      <c r="N12" s="2"/>
      <c r="O12" s="2"/>
    </row>
    <row r="13" spans="1:15" x14ac:dyDescent="0.3">
      <c r="A13" s="14">
        <v>3997.4</v>
      </c>
      <c r="B13" s="14">
        <v>-1997.08</v>
      </c>
      <c r="C13" s="32">
        <f t="shared" si="0"/>
        <v>1.9230769230769232E-3</v>
      </c>
      <c r="D13" s="33">
        <f>D10*4</f>
        <v>8.6666666666666661</v>
      </c>
      <c r="E13" s="34">
        <f>PresentWorth[[#This Row],[Inflow Future Value]]/ (1 + PresentWorth[[#This Row],[Interest Rate]]) ^ PresentWorth[[#This Row],[Time]]</f>
        <v>3931.3917114184455</v>
      </c>
      <c r="F13" s="34">
        <f>PresentWorth[[#This Row],[Outflow Future Value]]/ ((1 + PresentWorth[[#This Row],[Interest Rate]]) ^ PresentWorth[[#This Row],[Time]])</f>
        <v>-1964.1026064540824</v>
      </c>
      <c r="G13" s="2"/>
      <c r="H13" s="2"/>
      <c r="I13" s="2"/>
      <c r="J13" s="2"/>
      <c r="K13" s="2"/>
      <c r="L13" s="2"/>
      <c r="M13" s="2"/>
      <c r="N13" s="2"/>
      <c r="O13" s="2"/>
    </row>
    <row r="14" spans="1:15" x14ac:dyDescent="0.3">
      <c r="A14" s="13">
        <v>3997.4</v>
      </c>
      <c r="B14" s="13">
        <v>-1997.08</v>
      </c>
      <c r="C14" s="29">
        <f t="shared" si="0"/>
        <v>1.9230769230769232E-3</v>
      </c>
      <c r="D14" s="30">
        <f>D10*5</f>
        <v>10.833333333333332</v>
      </c>
      <c r="E14" s="31">
        <f>PresentWorth[[#This Row],[Inflow Future Value]]/ (1 + PresentWorth[[#This Row],[Interest Rate]]) ^ PresentWorth[[#This Row],[Time]]</f>
        <v>3915.0606571635985</v>
      </c>
      <c r="F14" s="31">
        <f>PresentWorth[[#This Row],[Outflow Future Value]]/ ((1 + PresentWorth[[#This Row],[Interest Rate]]) ^ PresentWorth[[#This Row],[Time]])</f>
        <v>-1955.9436977055784</v>
      </c>
      <c r="G14" s="2"/>
      <c r="H14" s="2"/>
      <c r="I14" s="2"/>
      <c r="J14" s="2"/>
      <c r="K14" s="2"/>
      <c r="L14" s="2"/>
      <c r="M14" s="2"/>
      <c r="N14" s="2"/>
      <c r="O14" s="2"/>
    </row>
    <row r="15" spans="1:15" x14ac:dyDescent="0.3">
      <c r="A15" s="14">
        <v>3997.4</v>
      </c>
      <c r="B15" s="14">
        <v>-1997.08</v>
      </c>
      <c r="C15" s="32">
        <f t="shared" si="0"/>
        <v>1.9230769230769232E-3</v>
      </c>
      <c r="D15" s="33">
        <f>D10*6</f>
        <v>13</v>
      </c>
      <c r="E15" s="34">
        <f>PresentWorth[[#This Row],[Inflow Future Value]]/ (1 + PresentWorth[[#This Row],[Interest Rate]]) ^ PresentWorth[[#This Row],[Time]]</f>
        <v>3898.797442328645</v>
      </c>
      <c r="F15" s="34">
        <f>PresentWorth[[#This Row],[Outflow Future Value]]/ ((1 + PresentWorth[[#This Row],[Interest Rate]]) ^ PresentWorth[[#This Row],[Time]])</f>
        <v>-1947.8186811741857</v>
      </c>
      <c r="G15" s="2"/>
      <c r="H15" s="2"/>
      <c r="I15" s="2"/>
      <c r="J15" s="2"/>
      <c r="K15" s="2"/>
      <c r="L15" s="2"/>
      <c r="M15" s="2"/>
      <c r="N15" s="2"/>
      <c r="O15" s="2"/>
    </row>
    <row r="16" spans="1:15" x14ac:dyDescent="0.3">
      <c r="A16" s="13">
        <v>3997.4</v>
      </c>
      <c r="B16" s="13">
        <v>-1997.08</v>
      </c>
      <c r="C16" s="29">
        <f t="shared" si="0"/>
        <v>1.9230769230769232E-3</v>
      </c>
      <c r="D16" s="30">
        <f>D10*7</f>
        <v>15.166666666666666</v>
      </c>
      <c r="E16" s="31">
        <f>PresentWorth[[#This Row],[Inflow Future Value]]/ (1 + PresentWorth[[#This Row],[Interest Rate]]) ^ PresentWorth[[#This Row],[Time]]</f>
        <v>3882.6017851077181</v>
      </c>
      <c r="F16" s="31">
        <f>PresentWorth[[#This Row],[Outflow Future Value]]/ ((1 + PresentWorth[[#This Row],[Interest Rate]]) ^ PresentWorth[[#This Row],[Time]])</f>
        <v>-1939.7274160711765</v>
      </c>
      <c r="G16" s="2"/>
      <c r="H16" s="2"/>
      <c r="I16" s="2"/>
      <c r="J16" s="2"/>
      <c r="K16" s="2"/>
      <c r="L16" s="2"/>
      <c r="M16" s="2"/>
      <c r="N16" s="2"/>
      <c r="O16" s="2"/>
    </row>
    <row r="17" spans="1:15" x14ac:dyDescent="0.3">
      <c r="A17" s="15">
        <v>6997.4</v>
      </c>
      <c r="B17" s="15">
        <v>-1997.08</v>
      </c>
      <c r="C17" s="37">
        <f t="shared" si="0"/>
        <v>1.9230769230769232E-3</v>
      </c>
      <c r="D17" s="36">
        <f>D10*8</f>
        <v>17.333333333333332</v>
      </c>
      <c r="E17" s="35">
        <f>PresentWorth[[#This Row],[Inflow Future Value]]/ (1 + PresentWorth[[#This Row],[Interest Rate]]) ^ PresentWorth[[#This Row],[Time]]</f>
        <v>6768.2145902852817</v>
      </c>
      <c r="F17" s="35">
        <f>PresentWorth[[#This Row],[Outflow Future Value]]/ ((1 + PresentWorth[[#This Row],[Interest Rate]]) ^ PresentWorth[[#This Row],[Time]])</f>
        <v>-1931.6697621926617</v>
      </c>
      <c r="G17" s="2"/>
      <c r="H17" s="2"/>
      <c r="I17" s="2"/>
      <c r="J17" s="2"/>
      <c r="K17" s="2"/>
      <c r="L17" s="2"/>
      <c r="M17" s="2"/>
      <c r="N17" s="2"/>
      <c r="O17" s="2"/>
    </row>
    <row r="18" spans="1:15" x14ac:dyDescent="0.3">
      <c r="A18" s="13"/>
      <c r="B18" s="13"/>
      <c r="C18" s="13"/>
      <c r="D18" s="13"/>
      <c r="E18" s="13"/>
      <c r="F18" s="13"/>
    </row>
    <row r="19" spans="1:15" x14ac:dyDescent="0.3">
      <c r="A19" s="14"/>
      <c r="B19" s="14"/>
      <c r="C19" s="14"/>
      <c r="D19" s="14"/>
      <c r="E19" s="14"/>
      <c r="F19" s="14"/>
    </row>
    <row r="20" spans="1:15" x14ac:dyDescent="0.3">
      <c r="A20" s="13"/>
      <c r="B20" s="13"/>
      <c r="C20" s="13"/>
      <c r="D20" s="13"/>
      <c r="E20" s="13"/>
      <c r="F20" s="13"/>
    </row>
    <row r="21" spans="1:15" x14ac:dyDescent="0.3">
      <c r="A21" s="14"/>
      <c r="B21" s="14"/>
      <c r="C21" s="14"/>
      <c r="D21" s="14"/>
      <c r="E21" s="14"/>
      <c r="F21" s="14"/>
    </row>
    <row r="22" spans="1:15" x14ac:dyDescent="0.3">
      <c r="A22" s="13"/>
      <c r="B22" s="13"/>
      <c r="C22" s="13"/>
      <c r="D22" s="13"/>
      <c r="E22" s="13"/>
      <c r="F22" s="13"/>
    </row>
    <row r="23" spans="1:15" x14ac:dyDescent="0.3">
      <c r="A23" s="14"/>
      <c r="B23" s="14"/>
      <c r="C23" s="14"/>
      <c r="D23" s="14"/>
      <c r="E23" s="14"/>
      <c r="F23" s="14"/>
    </row>
    <row r="24" spans="1:15" x14ac:dyDescent="0.3">
      <c r="A24" s="13"/>
      <c r="B24" s="13"/>
      <c r="C24" s="13"/>
      <c r="D24" s="13"/>
      <c r="E24" s="13"/>
      <c r="F24" s="13"/>
    </row>
    <row r="25" spans="1:15" x14ac:dyDescent="0.3">
      <c r="A25" s="15"/>
      <c r="B25" s="15"/>
      <c r="C25" s="15"/>
      <c r="D25" s="15"/>
      <c r="E25" s="15"/>
      <c r="F25" s="15"/>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AC9C-3EB1-4771-95BD-77B3F138E970}">
  <dimension ref="A1:M17"/>
  <sheetViews>
    <sheetView workbookViewId="0">
      <selection activeCell="D18" sqref="D18"/>
    </sheetView>
  </sheetViews>
  <sheetFormatPr defaultColWidth="8.88671875" defaultRowHeight="13.8" x14ac:dyDescent="0.25"/>
  <cols>
    <col min="1" max="1" width="12" style="11" bestFit="1" customWidth="1"/>
    <col min="2" max="2" width="12.6640625" style="11" bestFit="1" customWidth="1"/>
    <col min="3" max="3" width="8" style="11" hidden="1" customWidth="1"/>
    <col min="4" max="4" width="7.33203125" style="11" bestFit="1" customWidth="1"/>
    <col min="5" max="12" width="5" style="11" bestFit="1" customWidth="1"/>
    <col min="13" max="13" width="5.6640625" style="11" bestFit="1" customWidth="1"/>
    <col min="14" max="16384" width="8.88671875" style="11"/>
  </cols>
  <sheetData>
    <row r="1" spans="1:13" x14ac:dyDescent="0.25">
      <c r="A1" s="11" t="s">
        <v>0</v>
      </c>
      <c r="B1" s="11" t="s">
        <v>1</v>
      </c>
      <c r="C1" s="11" t="s">
        <v>2</v>
      </c>
      <c r="D1" s="11" t="s">
        <v>12</v>
      </c>
    </row>
    <row r="2" spans="1:13" x14ac:dyDescent="0.25">
      <c r="C2" s="11">
        <v>1</v>
      </c>
      <c r="D2" s="11">
        <v>1</v>
      </c>
      <c r="E2" s="16"/>
      <c r="F2" s="16"/>
      <c r="G2" s="16"/>
      <c r="H2" s="16"/>
      <c r="I2" s="16"/>
      <c r="J2" s="16"/>
      <c r="K2" s="16"/>
      <c r="L2" s="16"/>
      <c r="M2" s="16"/>
    </row>
    <row r="3" spans="1:13" x14ac:dyDescent="0.25">
      <c r="C3" s="11">
        <v>2</v>
      </c>
      <c r="D3" s="11">
        <v>2</v>
      </c>
    </row>
    <row r="4" spans="1:13" x14ac:dyDescent="0.25">
      <c r="C4" s="11">
        <v>3</v>
      </c>
      <c r="D4" s="11">
        <v>3</v>
      </c>
      <c r="E4" s="17"/>
      <c r="F4" s="17"/>
      <c r="G4" s="17"/>
      <c r="H4" s="17"/>
      <c r="I4" s="17"/>
      <c r="J4" s="17"/>
      <c r="K4" s="17"/>
      <c r="L4" s="17"/>
      <c r="M4" s="17"/>
    </row>
    <row r="5" spans="1:13" x14ac:dyDescent="0.25">
      <c r="C5" s="11">
        <v>4</v>
      </c>
      <c r="D5" s="11">
        <v>4</v>
      </c>
    </row>
    <row r="6" spans="1:13" x14ac:dyDescent="0.25">
      <c r="C6" s="11">
        <v>5</v>
      </c>
      <c r="D6" s="11">
        <v>5</v>
      </c>
    </row>
    <row r="7" spans="1:13" x14ac:dyDescent="0.25">
      <c r="C7" s="11">
        <v>6</v>
      </c>
      <c r="D7" s="11">
        <v>6</v>
      </c>
    </row>
    <row r="8" spans="1:13" x14ac:dyDescent="0.25">
      <c r="C8" s="11">
        <v>7</v>
      </c>
      <c r="D8" s="11">
        <v>7</v>
      </c>
    </row>
    <row r="9" spans="1:13" x14ac:dyDescent="0.25">
      <c r="C9" s="11">
        <v>8</v>
      </c>
      <c r="D9" s="11">
        <v>8</v>
      </c>
    </row>
    <row r="10" spans="1:13" x14ac:dyDescent="0.25">
      <c r="C10" s="11">
        <v>9</v>
      </c>
      <c r="D10" s="11">
        <v>9</v>
      </c>
    </row>
    <row r="11" spans="1:13" x14ac:dyDescent="0.25">
      <c r="C11" s="11">
        <v>10</v>
      </c>
      <c r="D11" s="11">
        <v>10</v>
      </c>
    </row>
    <row r="12" spans="1:13" x14ac:dyDescent="0.25">
      <c r="C12" s="11">
        <v>11</v>
      </c>
      <c r="D12" s="11">
        <v>11</v>
      </c>
    </row>
    <row r="13" spans="1:13" x14ac:dyDescent="0.25">
      <c r="C13" s="11">
        <v>12</v>
      </c>
      <c r="D13" s="11">
        <v>12</v>
      </c>
    </row>
    <row r="14" spans="1:13" x14ac:dyDescent="0.25">
      <c r="C14" s="11">
        <v>13</v>
      </c>
      <c r="D14" s="11">
        <v>13</v>
      </c>
    </row>
    <row r="15" spans="1:13" x14ac:dyDescent="0.25">
      <c r="C15" s="11">
        <v>14</v>
      </c>
      <c r="D15" s="11">
        <v>14</v>
      </c>
    </row>
    <row r="16" spans="1:13" x14ac:dyDescent="0.25">
      <c r="C16" s="11">
        <v>15</v>
      </c>
      <c r="D16" s="11">
        <v>15</v>
      </c>
    </row>
    <row r="17" spans="4:4" x14ac:dyDescent="0.25">
      <c r="D17" s="11">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5BE59E-C15F-4B02-AE9F-3378D8C859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5E8CDF-DBC3-4BAA-B111-4527677C0BE0}">
  <ds:schemaRefs>
    <ds:schemaRef ds:uri="http://schemas.microsoft.com/sharepoint/v3/contenttype/forms"/>
  </ds:schemaRefs>
</ds:datastoreItem>
</file>

<file path=customXml/itemProps3.xml><?xml version="1.0" encoding="utf-8"?>
<ds:datastoreItem xmlns:ds="http://schemas.openxmlformats.org/officeDocument/2006/customXml" ds:itemID="{30EC47EC-A1EB-4F3D-B05F-B3D5515BF978}">
  <ds:schemaRefs>
    <ds:schemaRef ds:uri="006c7cb9-3c36-40e5-a5d9-86e0029a058a"/>
    <ds:schemaRef ds:uri="http://purl.org/dc/elements/1.1/"/>
    <ds:schemaRef ds:uri="a5db53bf-fe91-4cb9-a657-3e0c4c7ee7a0"/>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Cash Flows</vt:lpstr>
      <vt:lpstr>Detail1</vt:lpstr>
      <vt:lpstr>Detail2</vt:lpstr>
      <vt:lpstr>Detail3</vt:lpstr>
      <vt:lpstr>Detail4</vt:lpstr>
      <vt:lpstr>Cash Flow Diagram</vt:lpstr>
      <vt:lpstr>PW </vt:lpstr>
      <vt:lpstr>Extra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Felicity Rugard</dc:creator>
  <cp:keywords/>
  <dc:description/>
  <cp:lastModifiedBy>Tridib Banik</cp:lastModifiedBy>
  <cp:revision/>
  <dcterms:created xsi:type="dcterms:W3CDTF">2024-05-23T19:58:43Z</dcterms:created>
  <dcterms:modified xsi:type="dcterms:W3CDTF">2026-02-03T04:08:13Z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y fmtid="{D5CDD505-2E9C-101B-9397-08002B2CF9AE}" pid="4" name="Order">
    <vt:r8>102000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