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OWNER\Downloads\"/>
    </mc:Choice>
  </mc:AlternateContent>
  <xr:revisionPtr revIDLastSave="0" documentId="8_{FC014EDC-0EDE-458F-9496-9E39780EB479}" xr6:coauthVersionLast="47" xr6:coauthVersionMax="47" xr10:uidLastSave="{00000000-0000-0000-0000-000000000000}"/>
  <bookViews>
    <workbookView xWindow="-108" yWindow="-108" windowWidth="23256" windowHeight="12456" activeTab="5" xr2:uid="{9B789AAF-6030-40EA-B24B-6CC9C3D80892}"/>
  </bookViews>
  <sheets>
    <sheet name="Cash Flows" sheetId="1" r:id="rId1"/>
    <sheet name="Detail1" sheetId="9" state="hidden" r:id="rId2"/>
    <sheet name="Detail2" sheetId="10" state="hidden" r:id="rId3"/>
    <sheet name="Detail3" sheetId="11" state="hidden" r:id="rId4"/>
    <sheet name="Detail4" sheetId="12" state="hidden" r:id="rId5"/>
    <sheet name="Cash Flow Diagram" sheetId="3" r:id="rId6"/>
    <sheet name="PW " sheetId="7" r:id="rId7"/>
    <sheet name="Extra Sheet" sheetId="6" r:id="rId8"/>
  </sheets>
  <calcPr calcId="191028"/>
  <pivotCaches>
    <pivotCache cacheId="5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 r="A9" i="7"/>
  <c r="C2" i="7"/>
  <c r="C3" i="7"/>
  <c r="C4" i="7"/>
  <c r="C5" i="7"/>
  <c r="C6" i="7"/>
  <c r="C7" i="7"/>
  <c r="C8" i="7"/>
  <c r="C9" i="7"/>
  <c r="F9" i="7" l="1"/>
  <c r="F8" i="7"/>
  <c r="F7" i="7"/>
  <c r="F6" i="7"/>
  <c r="F5" i="7"/>
  <c r="F4" i="7"/>
  <c r="F3" i="7"/>
  <c r="F2" i="7"/>
  <c r="E9" i="7"/>
  <c r="E8" i="7"/>
  <c r="E7" i="7"/>
  <c r="E6" i="7"/>
  <c r="E5" i="7"/>
  <c r="E4" i="7"/>
  <c r="E3" i="7"/>
  <c r="E2" i="7"/>
  <c r="D9" i="7"/>
  <c r="D8" i="7"/>
  <c r="D7" i="7"/>
  <c r="D6" i="7"/>
  <c r="D5" i="7"/>
  <c r="D4" i="7"/>
  <c r="D3" i="7"/>
  <c r="D2" i="7"/>
  <c r="J7" i="7" l="1"/>
  <c r="J6" i="7"/>
  <c r="J8" i="7" l="1"/>
</calcChain>
</file>

<file path=xl/sharedStrings.xml><?xml version="1.0" encoding="utf-8"?>
<sst xmlns="http://schemas.openxmlformats.org/spreadsheetml/2006/main" count="69" uniqueCount="39">
  <si>
    <t>Income</t>
  </si>
  <si>
    <t>Expenses</t>
  </si>
  <si>
    <t>Order</t>
  </si>
  <si>
    <t>Personal Considerations</t>
  </si>
  <si>
    <t>Time Period</t>
  </si>
  <si>
    <t>Row Labels</t>
  </si>
  <si>
    <t>Sum of Income</t>
  </si>
  <si>
    <t>Sum of Expenses</t>
  </si>
  <si>
    <t>Grand Total</t>
  </si>
  <si>
    <t>Inflow Future Value</t>
  </si>
  <si>
    <t>Outflow Future Value</t>
  </si>
  <si>
    <t>Interest Rate</t>
  </si>
  <si>
    <t>Time</t>
  </si>
  <si>
    <t>Inflow PW</t>
  </si>
  <si>
    <t>Outflow PW</t>
  </si>
  <si>
    <t>Same as above</t>
  </si>
  <si>
    <t>Details for Sum of Income - Time Period: 1</t>
  </si>
  <si>
    <t>Details for Sum of Expenses - Time Period: 1</t>
  </si>
  <si>
    <t>Details for Sum of Income - Time Period: 16</t>
  </si>
  <si>
    <t>Note: Timescale is monthly (Total 8 months, one row for each month)</t>
  </si>
  <si>
    <t>(blank)</t>
  </si>
  <si>
    <t>Note: The calculations for total income and expenses per month can be found in the word doc titled "banikt_07_T01_Week5"</t>
  </si>
  <si>
    <t xml:space="preserve">Total Inflow PW from Nunavut Power Company (Power Co-op): </t>
  </si>
  <si>
    <t xml:space="preserve">Total Outflow PW from Nunavut Power Company (Power Co-op): </t>
  </si>
  <si>
    <t xml:space="preserve">Total PW from Nunavut Power Company (Power Co-op): </t>
  </si>
  <si>
    <t>In-person Power Engineering role, internet activation fee, consistent monthly costs</t>
  </si>
  <si>
    <t>long-term industry &amp; Arctic experience benefit + $ 4,500</t>
  </si>
  <si>
    <r>
      <t xml:space="preserve">In making this choice, I prioritized </t>
    </r>
    <r>
      <rPr>
        <b/>
        <sz val="11"/>
        <color theme="1"/>
        <rFont val="Aptos Narrow"/>
        <family val="2"/>
        <scheme val="minor"/>
      </rPr>
      <t>long-term professional growth and future earning potential</t>
    </r>
    <r>
      <rPr>
        <sz val="11"/>
        <color theme="1"/>
        <rFont val="Aptos Narrow"/>
        <family val="2"/>
        <scheme val="minor"/>
      </rPr>
      <t xml:space="preserve"> over short-term financial stability. Although the Power Co-op provides the highest monthly income and generous relocation allowances, its higher cost of living in a remote location reduces the net PW, and its long-term salary premium is lower ($4,500).</t>
    </r>
  </si>
  <si>
    <t>I would have chosen the Power Co-op instead if its long-term benefit, such as a projected early-career salary premium, exceeded $6,000, or if the R&amp;D Co-op’s total inflows were substantially lower due to fewer overtime opportunities or reduced technical exposure. Similarly, higher immediate cash flow, reduced living costs, or relocation incentives could have made the Power Co-op more attractive.</t>
  </si>
  <si>
    <r>
      <rPr>
        <b/>
        <sz val="11"/>
        <color theme="1"/>
        <rFont val="Arial Narrow"/>
        <family val="2"/>
      </rPr>
      <t>Note:</t>
    </r>
    <r>
      <rPr>
        <sz val="11"/>
        <color theme="1"/>
        <rFont val="Arial Narrow"/>
        <family val="2"/>
      </rPr>
      <t xml:space="preserve"> Question 1 to 3 are answered across different Excel files in their corresponding sheets.</t>
    </r>
  </si>
  <si>
    <t xml:space="preserve">References </t>
  </si>
  <si>
    <t>[1] P. L. Rosengren, “USA releases Three engineering salary special reports,” IEEE, https://insight.ieeeusa.org/articles/ieee-usa-releases-three-engineering-salary-special-reports/ (accessed Feb. 2, 2026).</t>
  </si>
  <si>
    <t>[2] “Salary expert - R&amp;D engineer salary Toronto, Ontario, Canada,” Salary Expert, https://www.salaryexpert.com/salary/job/randd-engineer/canada/ontario/toronto (accessed Feb. 3, 2026).</t>
  </si>
  <si>
    <t>[3] “Tech salary calculator by Shecodes,” SheCodes, https://www.shecodes.io/salaries/canada/qa-engineer (accessed Feb. 2, 2026).</t>
  </si>
  <si>
    <r>
      <rPr>
        <b/>
        <sz val="11"/>
        <color theme="1"/>
        <rFont val="Arial Narrow"/>
        <family val="2"/>
      </rPr>
      <t>Note:</t>
    </r>
    <r>
      <rPr>
        <sz val="11"/>
        <color theme="1"/>
        <rFont val="Arial Narrow"/>
        <family val="2"/>
      </rPr>
      <t xml:space="preserve"> Questions 1 to 4 are all answered across different Excel files in their corresponding sheets.</t>
    </r>
  </si>
  <si>
    <r>
      <rPr>
        <b/>
        <i/>
        <sz val="11"/>
        <color rgb="FF000000"/>
        <rFont val="Arial Narrow"/>
        <family val="2"/>
      </rPr>
      <t xml:space="preserve">Justification for co-op selection (250 words): </t>
    </r>
    <r>
      <rPr>
        <b/>
        <sz val="11"/>
        <color rgb="FF000000"/>
        <rFont val="Arial Narrow"/>
        <family val="2"/>
      </rPr>
      <t>Based on my cash flow diagrams and Present Worth (PW) calculations, I have decided to pursue the R&amp;D Engineering Co-op at the Established Space Agency. The R&amp;D Co-op has a total inflow PW of $39,578.81 and a total outflow PW of $15,908.41, resulting in a net PW of $23,670.39, which is higher than the Power Engineering Co-op ($21,787.41) and the QA &amp; Testing Co-op ($18,519.72). While the R&amp;D Co-op offers lower base pay than the Power Co-op and higher transit costs due to fully in-person work, it provides the strongest long-term career benefits. The $6,000 long-term aerospace skill and career benefit significantly contributes to its superior PW. This value was estimated by comparing the R&amp;D Co-op to my baseline academic experience, where exposure to aerospace systems is primarily theoretical. Based on salary data for entry-level R&amp;D engineers [2], this experience is expected to increase early-career earnings by approximately $1,500 per year over the first four years after graduation, resulting in the total benefit of $6,000.
The Power Co-op, while offering the highest monthly income and relocation support, has higher living costs and a lower long-term benefit ($4,500) due to a smaller expected early-career salary premium of $1,125 per year over four years [1], making its net PW smaller. The QA &amp; Testing Co-op would have been preferred if short-term cash flow stability was prioritized, as it has moderate long-term benefits ($3,000) [3] and a PW of $18,519.72.
Factors not explicitly included in the analysis, such as job satisfaction, networking opportunities, or future graduate school alignment, could influence the decision. Considering these qualitative factors, the R&amp;D Co-op remains the superior option because of its specialized technical experience, career growth potential, and alignment with long-term professional goals.</t>
    </r>
  </si>
  <si>
    <r>
      <rPr>
        <b/>
        <sz val="11"/>
        <color theme="1"/>
        <rFont val="Arial Narrow"/>
        <family val="2"/>
      </rPr>
      <t xml:space="preserve">Justification for using $1,500/year in R&amp;D: </t>
    </r>
    <r>
      <rPr>
        <sz val="11"/>
        <color theme="1"/>
        <rFont val="Arial Narrow"/>
        <family val="2"/>
      </rPr>
      <t>Based on SalaryExpert data for entry-level R&amp;D Engineers in Toronto, Ontario, entry-level salaries are approximately $96,510/year [2]. Compared to a baseline of $90,000/year without co-op experience, this implies an early-career premium of $1,500/year. Assuming this premium applies for the first four years after graduation, the total benefit is $6,000 ($1,500/year * 4 years).</t>
    </r>
  </si>
  <si>
    <r>
      <rPr>
        <b/>
        <sz val="11"/>
        <color theme="1"/>
        <rFont val="Arial Narrow"/>
        <family val="2"/>
      </rPr>
      <t xml:space="preserve">Justification for using $3,000 as long-term benefit for QA co-op: </t>
    </r>
    <r>
      <rPr>
        <sz val="11"/>
        <color theme="1"/>
        <rFont val="Arial Narrow"/>
        <family val="2"/>
      </rPr>
      <t>Based on salary data for QA and testing roles in Canada, entry-level positions earn approximately $70,000/year [3]. Compared to a baseline early-career salary of $65,000/year without co-op experience, this implies an incremental salary difference of $5,000. Applying a conservative 15% factor to reflect realistic early-career impact yields an estimated annual benefit of approximately $750/year. Assuming this benefit persists over the first four years after graduation, the total long-term benefit is $3,000 ($750/year * 4 years).</t>
    </r>
  </si>
  <si>
    <r>
      <rPr>
        <b/>
        <sz val="11"/>
        <color theme="1"/>
        <rFont val="Arial Narrow"/>
        <family val="2"/>
      </rPr>
      <t xml:space="preserve">Justification for using $1,125/year for Power co-op: </t>
    </r>
    <r>
      <rPr>
        <sz val="11"/>
        <color theme="1"/>
        <rFont val="Arial Narrow"/>
        <family val="2"/>
      </rPr>
      <t>Based on IEEE-USA salary data indicating that those just starting in the power and energy field earn a median total income of $75,000 [1], I conservatively estimated that the specialized experience gained through this co-op would provide an early-career salary premium of approximately 1.5%, corresponding to an increase in earning potential of about $1,125 per year over the first four years after graduation.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</si>
</sst>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00000"/>
    <numFmt numFmtId="165" formatCode="0.000"/>
  </numFmts>
  <fonts count="12" x14ac:knownFonts="1">
    <font>
      <sz val="11"/>
      <color theme="1"/>
      <name val="Aptos Narrow"/>
      <family val="2"/>
      <scheme val="minor"/>
    </font>
    <font>
      <sz val="8"/>
      <name val="Aptos Narrow"/>
      <family val="2"/>
      <scheme val="minor"/>
    </font>
    <font>
      <b/>
      <sz val="11"/>
      <color rgb="FF000000"/>
      <name val="Aptos Narrow"/>
      <family val="2"/>
      <scheme val="minor"/>
    </font>
    <font>
      <sz val="11"/>
      <color rgb="FF000000"/>
      <name val="Aptos Narrow"/>
      <family val="2"/>
      <scheme val="minor"/>
    </font>
    <font>
      <b/>
      <sz val="11"/>
      <color rgb="FFFFFFFF"/>
      <name val="Aptos Narrow"/>
      <family val="2"/>
      <scheme val="minor"/>
    </font>
    <font>
      <sz val="11"/>
      <color theme="1"/>
      <name val="Arial Narrow"/>
      <family val="2"/>
    </font>
    <font>
      <sz val="11"/>
      <color rgb="FF000000"/>
      <name val="Arial Narrow"/>
      <family val="2"/>
    </font>
    <font>
      <b/>
      <sz val="11"/>
      <color rgb="FF000000"/>
      <name val="Arial Narrow"/>
      <family val="2"/>
    </font>
    <font>
      <b/>
      <sz val="11"/>
      <color theme="1"/>
      <name val="Arial Narrow"/>
      <family val="2"/>
    </font>
    <font>
      <sz val="11"/>
      <color theme="1"/>
      <name val="Aptos Narrow"/>
      <family val="2"/>
      <scheme val="minor"/>
    </font>
    <font>
      <b/>
      <sz val="11"/>
      <color theme="1"/>
      <name val="Aptos Narrow"/>
      <family val="2"/>
      <scheme val="minor"/>
    </font>
    <font>
      <b/>
      <i/>
      <sz val="11"/>
      <color rgb="FF000000"/>
      <name val="Arial Narrow"/>
      <family val="2"/>
    </font>
  </fonts>
  <fills count="4">
    <fill>
      <patternFill patternType="none"/>
    </fill>
    <fill>
      <patternFill patternType="gray125"/>
    </fill>
    <fill>
      <patternFill patternType="solid">
        <fgColor rgb="FF156082"/>
        <bgColor rgb="FF156082"/>
      </patternFill>
    </fill>
    <fill>
      <patternFill patternType="solid">
        <fgColor rgb="FFC0E6F5"/>
        <bgColor rgb="FFC0E6F5"/>
      </patternFill>
    </fill>
  </fills>
  <borders count="13">
    <border>
      <left/>
      <right/>
      <top/>
      <bottom/>
      <diagonal/>
    </border>
    <border>
      <left style="thin">
        <color rgb="FF44B3E1"/>
      </left>
      <right style="thin">
        <color rgb="FF000000"/>
      </right>
      <top style="thin">
        <color rgb="FF44B3E1"/>
      </top>
      <bottom style="thin">
        <color rgb="FF44B3E1"/>
      </bottom>
      <diagonal/>
    </border>
    <border>
      <left/>
      <right style="thin">
        <color rgb="FF000000"/>
      </right>
      <top style="thin">
        <color rgb="FF44B3E1"/>
      </top>
      <bottom style="thin">
        <color rgb="FF44B3E1"/>
      </bottom>
      <diagonal/>
    </border>
    <border>
      <left/>
      <right style="thin">
        <color rgb="FF000000"/>
      </right>
      <top/>
      <bottom/>
      <diagonal/>
    </border>
    <border>
      <left/>
      <right style="thin">
        <color rgb="FF000000"/>
      </right>
      <top style="thin">
        <color rgb="FF44B3E1"/>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44" fontId="9" fillId="0" borderId="0" applyFont="0" applyFill="0" applyBorder="0" applyAlignment="0" applyProtection="0"/>
  </cellStyleXfs>
  <cellXfs count="46">
    <xf numFmtId="0" fontId="0" fillId="0" borderId="0" xfId="0"/>
    <xf numFmtId="0" fontId="2" fillId="0" borderId="0" xfId="0" applyFont="1"/>
    <xf numFmtId="0" fontId="3" fillId="0" borderId="0" xfId="0" applyFont="1"/>
    <xf numFmtId="0" fontId="2" fillId="0" borderId="0" xfId="0" applyFont="1" applyAlignment="1">
      <alignment vertical="top"/>
    </xf>
    <xf numFmtId="0" fontId="4" fillId="2" borderId="1" xfId="0" applyFont="1" applyFill="1" applyBorder="1"/>
    <xf numFmtId="0" fontId="4" fillId="2" borderId="2" xfId="0" applyFont="1" applyFill="1" applyBorder="1"/>
    <xf numFmtId="0" fontId="4" fillId="2" borderId="3" xfId="0" applyFont="1" applyFill="1" applyBorder="1"/>
    <xf numFmtId="0" fontId="4" fillId="2" borderId="0" xfId="0" applyFont="1" applyFill="1"/>
    <xf numFmtId="0" fontId="5" fillId="0" borderId="0" xfId="0" applyFont="1" applyProtection="1">
      <protection locked="0"/>
    </xf>
    <xf numFmtId="49" fontId="5" fillId="0" borderId="0" xfId="0" applyNumberFormat="1" applyFont="1"/>
    <xf numFmtId="0" fontId="5" fillId="0" borderId="0" xfId="0" applyFont="1" applyAlignment="1" applyProtection="1">
      <alignment horizontal="left"/>
      <protection locked="0"/>
    </xf>
    <xf numFmtId="0" fontId="5" fillId="0" borderId="0" xfId="0" applyFont="1"/>
    <xf numFmtId="0" fontId="5" fillId="0" borderId="0" xfId="0" applyFont="1" applyAlignment="1">
      <alignment horizontal="left"/>
    </xf>
    <xf numFmtId="0" fontId="6" fillId="3" borderId="2" xfId="0" applyFont="1" applyFill="1" applyBorder="1"/>
    <xf numFmtId="0" fontId="6" fillId="0" borderId="2" xfId="0" applyFont="1" applyBorder="1"/>
    <xf numFmtId="0" fontId="6" fillId="0" borderId="4" xfId="0" applyFont="1" applyBorder="1"/>
    <xf numFmtId="0" fontId="8" fillId="0" borderId="0" xfId="0" applyFont="1" applyAlignment="1">
      <alignment vertical="top"/>
    </xf>
    <xf numFmtId="0" fontId="8" fillId="0" borderId="0" xfId="0" applyFont="1"/>
    <xf numFmtId="44" fontId="0" fillId="0" borderId="0" xfId="1" applyFont="1"/>
    <xf numFmtId="0" fontId="10" fillId="0" borderId="0" xfId="0" applyFont="1"/>
    <xf numFmtId="0" fontId="8" fillId="0" borderId="0" xfId="0" applyFont="1" applyProtection="1">
      <protection locked="0"/>
    </xf>
    <xf numFmtId="4" fontId="6" fillId="0" borderId="2" xfId="0" applyNumberFormat="1" applyFont="1" applyBorder="1"/>
    <xf numFmtId="44" fontId="3" fillId="0" borderId="0" xfId="1" applyFont="1"/>
    <xf numFmtId="44" fontId="3" fillId="0" borderId="0" xfId="0" applyNumberFormat="1" applyFont="1"/>
    <xf numFmtId="164" fontId="6" fillId="3" borderId="2" xfId="0" applyNumberFormat="1" applyFont="1" applyFill="1" applyBorder="1"/>
    <xf numFmtId="165" fontId="6" fillId="3" borderId="2" xfId="0" applyNumberFormat="1" applyFont="1" applyFill="1" applyBorder="1"/>
    <xf numFmtId="2" fontId="6" fillId="3" borderId="2" xfId="0" applyNumberFormat="1" applyFont="1" applyFill="1" applyBorder="1"/>
    <xf numFmtId="164" fontId="6" fillId="0" borderId="2" xfId="0" applyNumberFormat="1" applyFont="1" applyBorder="1"/>
    <xf numFmtId="165" fontId="6" fillId="0" borderId="2" xfId="0" applyNumberFormat="1" applyFont="1" applyBorder="1"/>
    <xf numFmtId="2" fontId="6" fillId="0" borderId="2" xfId="0" applyNumberFormat="1" applyFont="1" applyBorder="1"/>
    <xf numFmtId="2" fontId="6" fillId="0" borderId="4" xfId="0" applyNumberFormat="1" applyFont="1" applyBorder="1"/>
    <xf numFmtId="165" fontId="6" fillId="0" borderId="4" xfId="0" applyNumberFormat="1" applyFont="1" applyBorder="1"/>
    <xf numFmtId="164" fontId="6" fillId="0" borderId="4" xfId="0" applyNumberFormat="1" applyFont="1" applyBorder="1"/>
    <xf numFmtId="0" fontId="0" fillId="0" borderId="0" xfId="0" applyAlignment="1">
      <alignment horizontal="left" vertical="center" indent="5"/>
    </xf>
    <xf numFmtId="0" fontId="7" fillId="0" borderId="5" xfId="0" applyFont="1" applyBorder="1" applyAlignment="1">
      <alignment horizontal="left" vertical="top" wrapText="1"/>
    </xf>
    <xf numFmtId="0" fontId="5" fillId="0" borderId="6"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0" borderId="0" xfId="0" applyFont="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11" xfId="0" applyFont="1" applyBorder="1" applyAlignment="1">
      <alignment horizontal="left" vertical="top"/>
    </xf>
    <xf numFmtId="0" fontId="5" fillId="0" borderId="12" xfId="0" applyFont="1" applyBorder="1" applyAlignment="1">
      <alignment horizontal="left" vertical="top"/>
    </xf>
    <xf numFmtId="0" fontId="5" fillId="0" borderId="0" xfId="0" pivotButton="1" applyFont="1" applyAlignment="1">
      <alignment horizontal="center"/>
    </xf>
    <xf numFmtId="0" fontId="5" fillId="0" borderId="0" xfId="0" applyFont="1" applyAlignment="1">
      <alignment horizontal="center"/>
    </xf>
    <xf numFmtId="0" fontId="5" fillId="0" borderId="0" xfId="0" applyNumberFormat="1" applyFont="1"/>
  </cellXfs>
  <cellStyles count="2">
    <cellStyle name="Currency" xfId="1" builtinId="4"/>
    <cellStyle name="Normal" xfId="0" builtinId="0"/>
  </cellStyles>
  <dxfs count="46">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border outline="0">
        <bottom style="thin">
          <color rgb="FF44B3E1"/>
        </bottom>
      </border>
    </dxf>
    <dxf>
      <font>
        <b val="0"/>
        <i val="0"/>
        <strike val="0"/>
        <condense val="0"/>
        <extend val="0"/>
        <outline val="0"/>
        <shadow val="0"/>
        <u val="none"/>
        <vertAlign val="baseline"/>
        <sz val="11"/>
        <color rgb="FF000000"/>
        <name val="Arial Narrow"/>
        <scheme val="minor"/>
      </font>
    </dxf>
    <dxf>
      <font>
        <b/>
        <i val="0"/>
        <strike val="0"/>
        <condense val="0"/>
        <extend val="0"/>
        <outline val="0"/>
        <shadow val="0"/>
        <u val="none"/>
        <vertAlign val="baseline"/>
        <sz val="11"/>
        <color rgb="FFFFFFFF"/>
        <name val="Aptos Narrow"/>
        <family val="2"/>
        <scheme val="minor"/>
      </font>
      <fill>
        <patternFill patternType="solid">
          <fgColor rgb="FF156082"/>
          <bgColor rgb="FF156082"/>
        </patternFill>
      </fill>
    </dxf>
    <dxf>
      <font>
        <name val="Arial Narrow"/>
      </font>
    </dxf>
    <dxf>
      <font>
        <name val="Arial Narrow"/>
      </font>
    </dxf>
    <dxf>
      <font>
        <name val="Arial Narrow"/>
      </font>
    </dxf>
    <dxf>
      <font>
        <name val="Arial Narrow"/>
      </font>
    </dxf>
    <dxf>
      <font>
        <name val="Arial Narrow"/>
      </font>
    </dxf>
    <dxf>
      <font>
        <name val="Arial Narrow"/>
      </font>
    </dxf>
    <dxf>
      <font>
        <name val="Arial Narrow"/>
      </font>
      <alignment horizontal="left" vertical="bottom" textRotation="0" wrapText="0" indent="0" justifyLastLine="0" shrinkToFit="0" readingOrder="0"/>
      <protection locked="0" hidden="0"/>
    </dxf>
    <dxf>
      <font>
        <name val="Arial Narrow"/>
      </font>
      <alignment horizontal="left" vertical="bottom" textRotation="0" wrapText="0" indent="0" justifyLastLine="0" shrinkToFit="0" readingOrder="0"/>
    </dxf>
    <dxf>
      <font>
        <name val="Arial Narrow"/>
      </font>
      <numFmt numFmtId="30" formatCode="@"/>
      <alignment horizontal="left" vertical="bottom" textRotation="0" wrapText="0" indent="0" justifyLastLine="0" shrinkToFit="0" readingOrder="0"/>
      <protection locked="0" hidden="0"/>
    </dxf>
    <dxf>
      <font>
        <name val="Arial Narrow"/>
      </font>
      <protection locked="0" hidden="0"/>
    </dxf>
    <dxf>
      <font>
        <name val="Arial Narrow"/>
      </font>
      <protection locked="0" hidden="0"/>
    </dxf>
    <dxf>
      <font>
        <name val="Arial Narrow"/>
      </font>
    </dxf>
    <dxf>
      <font>
        <name val="Arial Narrow"/>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[banikt_07_T01_Week5_Power_Coop.xlsx]Cash Flow Diagram!CashFlowPivot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arrow"/>
                <a:ea typeface="Arial Narrow"/>
                <a:cs typeface="Arial Narrow"/>
              </a:defRPr>
            </a:pPr>
            <a:r>
              <a:rPr lang="en-US"/>
              <a:t>Cash</a:t>
            </a:r>
            <a:r>
              <a:rPr lang="en-US" baseline="0"/>
              <a:t> Flow Diagram Template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arrow"/>
              <a:ea typeface="Arial Narrow"/>
              <a:cs typeface="Arial Narrow"/>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4"/>
            <a:stretch>
              <a:fillRect/>
            </a:stretch>
          </a:blipFill>
          <a:ln>
            <a:noFill/>
          </a:ln>
          <a:effectLst/>
        </c:spPr>
        <c:dLbl>
          <c:idx val="0"/>
          <c:layout>
            <c:manualLayout>
              <c:x val="0"/>
              <c:y val="-1.401960979120699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c:spPr>
        <c:dLbl>
          <c:idx val="0"/>
          <c:layout>
            <c:manualLayout>
              <c:x val="0"/>
              <c:y val="-3.7385626109885772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4"/>
            <a:stretch>
              <a:fillRect/>
            </a:stretch>
          </a:blipFill>
          <a:ln>
            <a:noFill/>
          </a:ln>
          <a:effectLst/>
        </c:spPr>
        <c:dLbl>
          <c:idx val="0"/>
          <c:layout>
            <c:manualLayout>
              <c:x val="0"/>
              <c:y val="-1.869281305494288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c:spPr>
        <c:dLbl>
          <c:idx val="0"/>
          <c:layout>
            <c:manualLayout>
              <c:x val="0"/>
              <c:y val="3.6245462982611264E-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4"/>
            <a:stretch>
              <a:fillRect/>
            </a:stretch>
          </a:blipFill>
          <a:ln>
            <a:noFill/>
          </a:ln>
          <a:effectLst/>
        </c:spPr>
        <c:dLbl>
          <c:idx val="0"/>
          <c:layout>
            <c:manualLayout>
              <c:x val="0"/>
              <c:y val="3.6245462982611264E-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34249210792546E-2"/>
          <c:y val="4.61037660003982E-2"/>
          <c:w val="0.93914246196403872"/>
          <c:h val="0.89860084407357499"/>
        </c:manualLayout>
      </c:layout>
      <c:barChart>
        <c:barDir val="col"/>
        <c:grouping val="clustered"/>
        <c:varyColors val="0"/>
        <c:ser>
          <c:idx val="0"/>
          <c:order val="0"/>
          <c:tx>
            <c:strRef>
              <c:f>'Cash Flow Diagram'!$B$1</c:f>
              <c:strCache>
                <c:ptCount val="1"/>
                <c:pt idx="0">
                  <c:v>Sum of Income</c:v>
                </c:pt>
              </c:strCache>
            </c:strRef>
          </c:tx>
          <c:spPr>
            <a:blipFill>
              <a:blip xmlns:r="http://schemas.openxmlformats.org/officeDocument/2006/relationships" r:embed="rId3"/>
              <a:stretch>
                <a:fillRect/>
              </a:stretch>
            </a:blip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Diagram'!$A$2:$A$11</c:f>
              <c:strCache>
                <c:ptCount val="9"/>
                <c:pt idx="0">
                  <c:v>1</c:v>
                </c:pt>
                <c:pt idx="1">
                  <c:v>2</c:v>
                </c:pt>
                <c:pt idx="2">
                  <c:v>3</c:v>
                </c:pt>
                <c:pt idx="3">
                  <c:v>4</c:v>
                </c:pt>
                <c:pt idx="4">
                  <c:v>5</c:v>
                </c:pt>
                <c:pt idx="5">
                  <c:v>6</c:v>
                </c:pt>
                <c:pt idx="6">
                  <c:v>7</c:v>
                </c:pt>
                <c:pt idx="7">
                  <c:v>8</c:v>
                </c:pt>
                <c:pt idx="8">
                  <c:v>(blank)</c:v>
                </c:pt>
              </c:strCache>
            </c:strRef>
          </c:cat>
          <c:val>
            <c:numRef>
              <c:f>'Cash Flow Diagram'!$B$2:$B$11</c:f>
              <c:numCache>
                <c:formatCode>General</c:formatCode>
                <c:ptCount val="9"/>
                <c:pt idx="0">
                  <c:v>6083</c:v>
                </c:pt>
                <c:pt idx="1">
                  <c:v>6083</c:v>
                </c:pt>
                <c:pt idx="2">
                  <c:v>6083</c:v>
                </c:pt>
                <c:pt idx="3">
                  <c:v>6083</c:v>
                </c:pt>
                <c:pt idx="4">
                  <c:v>6083</c:v>
                </c:pt>
                <c:pt idx="5">
                  <c:v>6083</c:v>
                </c:pt>
                <c:pt idx="6">
                  <c:v>6083</c:v>
                </c:pt>
                <c:pt idx="7">
                  <c:v>10583</c:v>
                </c:pt>
              </c:numCache>
            </c:numRef>
          </c:val>
          <c:extLst>
            <c:ext xmlns:c16="http://schemas.microsoft.com/office/drawing/2014/chart" uri="{C3380CC4-5D6E-409C-BE32-E72D297353CC}">
              <c16:uniqueId val="{00000000-865C-4C17-BE09-17573C516953}"/>
            </c:ext>
          </c:extLst>
        </c:ser>
        <c:ser>
          <c:idx val="1"/>
          <c:order val="1"/>
          <c:tx>
            <c:strRef>
              <c:f>'Cash Flow Diagram'!$C$1</c:f>
              <c:strCache>
                <c:ptCount val="1"/>
                <c:pt idx="0">
                  <c:v>Sum of Expenses</c:v>
                </c:pt>
              </c:strCache>
            </c:strRef>
          </c:tx>
          <c:spPr>
            <a:blipFill>
              <a:blip xmlns:r="http://schemas.openxmlformats.org/officeDocument/2006/relationships" r:embed="rId4"/>
              <a:stretch>
                <a:fillRect/>
              </a:stretch>
            </a:blipFill>
            <a:ln>
              <a:noFill/>
            </a:ln>
            <a:effectLst/>
          </c:spPr>
          <c:invertIfNegative val="0"/>
          <c:dPt>
            <c:idx val="0"/>
            <c:invertIfNegative val="0"/>
            <c:bubble3D val="0"/>
            <c:extLst>
              <c:ext xmlns:c16="http://schemas.microsoft.com/office/drawing/2014/chart" uri="{C3380CC4-5D6E-409C-BE32-E72D297353CC}">
                <c16:uniqueId val="{00000011-0041-425D-A8B3-1D953ECC64C5}"/>
              </c:ext>
            </c:extLst>
          </c:dPt>
          <c:dPt>
            <c:idx val="2"/>
            <c:invertIfNegative val="0"/>
            <c:bubble3D val="0"/>
            <c:extLst>
              <c:ext xmlns:c16="http://schemas.microsoft.com/office/drawing/2014/chart" uri="{C3380CC4-5D6E-409C-BE32-E72D297353CC}">
                <c16:uniqueId val="{00000005-865C-4C17-BE09-17573C516953}"/>
              </c:ext>
            </c:extLst>
          </c:dPt>
          <c:dPt>
            <c:idx val="3"/>
            <c:invertIfNegative val="0"/>
            <c:bubble3D val="0"/>
            <c:extLst>
              <c:ext xmlns:c16="http://schemas.microsoft.com/office/drawing/2014/chart" uri="{C3380CC4-5D6E-409C-BE32-E72D297353CC}">
                <c16:uniqueId val="{00000006-865C-4C17-BE09-17573C516953}"/>
              </c:ext>
            </c:extLst>
          </c:dPt>
          <c:dPt>
            <c:idx val="4"/>
            <c:invertIfNegative val="0"/>
            <c:bubble3D val="0"/>
            <c:extLst>
              <c:ext xmlns:c16="http://schemas.microsoft.com/office/drawing/2014/chart" uri="{C3380CC4-5D6E-409C-BE32-E72D297353CC}">
                <c16:uniqueId val="{00000007-865C-4C17-BE09-17573C516953}"/>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'Cash Flow Diagram'!$A$2:$A$11</c:f>
              <c:strCache>
                <c:ptCount val="9"/>
                <c:pt idx="0">
                  <c:v>1</c:v>
                </c:pt>
                <c:pt idx="1">
                  <c:v>2</c:v>
                </c:pt>
                <c:pt idx="2">
                  <c:v>3</c:v>
                </c:pt>
                <c:pt idx="3">
                  <c:v>4</c:v>
                </c:pt>
                <c:pt idx="4">
                  <c:v>5</c:v>
                </c:pt>
                <c:pt idx="5">
                  <c:v>6</c:v>
                </c:pt>
                <c:pt idx="6">
                  <c:v>7</c:v>
                </c:pt>
                <c:pt idx="7">
                  <c:v>8</c:v>
                </c:pt>
                <c:pt idx="8">
                  <c:v>(blank)</c:v>
                </c:pt>
              </c:strCache>
            </c:strRef>
          </c:cat>
          <c:val>
            <c:numRef>
              <c:f>'Cash Flow Diagram'!$C$2:$C$11</c:f>
              <c:numCache>
                <c:formatCode>General</c:formatCode>
                <c:ptCount val="9"/>
                <c:pt idx="0">
                  <c:v>-3887.98</c:v>
                </c:pt>
                <c:pt idx="1">
                  <c:v>-3837.98</c:v>
                </c:pt>
                <c:pt idx="2">
                  <c:v>-3837.98</c:v>
                </c:pt>
                <c:pt idx="3">
                  <c:v>-3837.98</c:v>
                </c:pt>
                <c:pt idx="4">
                  <c:v>-3887.98</c:v>
                </c:pt>
                <c:pt idx="5">
                  <c:v>-3837.98</c:v>
                </c:pt>
                <c:pt idx="6">
                  <c:v>-3837.98</c:v>
                </c:pt>
                <c:pt idx="7">
                  <c:v>-3837.98</c:v>
                </c:pt>
              </c:numCache>
            </c:numRef>
          </c:val>
          <c:extLst>
            <c:ext xmlns:c16="http://schemas.microsoft.com/office/drawing/2014/chart" uri="{C3380CC4-5D6E-409C-BE32-E72D297353CC}">
              <c16:uniqueId val="{00000002-865C-4C17-BE09-17573C516953}"/>
            </c:ext>
          </c:extLst>
        </c:ser>
        <c:dLbls>
          <c:dLblPos val="outEnd"/>
          <c:showLegendKey val="0"/>
          <c:showVal val="1"/>
          <c:showCatName val="0"/>
          <c:showSerName val="0"/>
          <c:showPercent val="0"/>
          <c:showBubbleSize val="0"/>
        </c:dLbls>
        <c:gapWidth val="203"/>
        <c:overlap val="100"/>
        <c:axId val="329648607"/>
        <c:axId val="329646207"/>
      </c:barChart>
      <c:catAx>
        <c:axId val="329648607"/>
        <c:scaling>
          <c:orientation val="minMax"/>
        </c:scaling>
        <c:delete val="0"/>
        <c:axPos val="b"/>
        <c:numFmt formatCode="General" sourceLinked="0"/>
        <c:majorTickMark val="none"/>
        <c:minorTickMark val="none"/>
        <c:tickLblPos val="nextTo"/>
        <c:spPr>
          <a:noFill/>
          <a:ln w="9525" cap="flat" cmpd="sng" algn="ctr">
            <a:solidFill>
              <a:schemeClr val="accent1">
                <a:shade val="15000"/>
              </a:schemeClr>
            </a:solidFill>
            <a:round/>
          </a:ln>
          <a:effectLst/>
        </c:spPr>
        <c:txPr>
          <a:bodyPr rot="0" spcFirstLastPara="1" vertOverflow="ellipsis" wrap="square" anchor="ctr"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329646207"/>
        <c:crosses val="autoZero"/>
        <c:auto val="1"/>
        <c:lblAlgn val="ctr"/>
        <c:lblOffset val="1"/>
        <c:noMultiLvlLbl val="0"/>
      </c:catAx>
      <c:valAx>
        <c:axId val="329646207"/>
        <c:scaling>
          <c:orientation val="minMax"/>
        </c:scaling>
        <c:delete val="1"/>
        <c:axPos val="l"/>
        <c:numFmt formatCode="General" sourceLinked="1"/>
        <c:majorTickMark val="out"/>
        <c:minorTickMark val="none"/>
        <c:tickLblPos val="nextTo"/>
        <c:crossAx val="32964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514977</xdr:colOff>
      <xdr:row>0</xdr:row>
      <xdr:rowOff>0</xdr:rowOff>
    </xdr:from>
    <xdr:to>
      <xdr:col>15</xdr:col>
      <xdr:colOff>480060</xdr:colOff>
      <xdr:row>20</xdr:row>
      <xdr:rowOff>45720</xdr:rowOff>
    </xdr:to>
    <xdr:graphicFrame macro="">
      <xdr:nvGraphicFramePr>
        <xdr:cNvPr id="2" name="CashFlowDiagram">
          <a:extLst>
            <a:ext uri="{FF2B5EF4-FFF2-40B4-BE49-F238E27FC236}">
              <a16:creationId xmlns:a16="http://schemas.microsoft.com/office/drawing/2014/main" id="{3322DE95-719E-98CA-28EB-D451ABDBC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OWNER" refreshedDate="46055.955376620368" createdVersion="8" refreshedVersion="8" minRefreshableVersion="3" recordCount="16" xr:uid="{52E38DEE-8143-4817-97FC-60B3BCC0E1E4}">
  <cacheSource type="worksheet">
    <worksheetSource name="CashFlowsInput"/>
  </cacheSource>
  <cacheFields count="5">
    <cacheField name="Income" numFmtId="0">
      <sharedItems containsString="0" containsBlank="1" containsNumber="1" containsInteger="1" minValue="6083" maxValue="10583"/>
    </cacheField>
    <cacheField name="Expenses" numFmtId="0">
      <sharedItems containsString="0" containsBlank="1" containsNumber="1" minValue="-3887.98" maxValue="-3837.98"/>
    </cacheField>
    <cacheField name="Order" numFmtId="0">
      <sharedItems containsString="0" containsBlank="1" containsNumber="1" containsInteger="1" minValue="1" maxValue="8"/>
    </cacheField>
    <cacheField name="Personal Considerations" numFmtId="0">
      <sharedItems containsBlank="1"/>
    </cacheField>
    <cacheField name="Time Period" numFmtId="0">
      <sharedItems containsString="0" containsBlank="1" containsNumber="1" containsInteger="1" minValue="1" maxValue="24" count="25">
        <n v="1"/>
        <n v="2"/>
        <n v="3"/>
        <n v="4"/>
        <n v="5"/>
        <n v="6"/>
        <n v="7"/>
        <n v="8"/>
        <m/>
        <n v="9" u="1"/>
        <n v="10" u="1"/>
        <n v="11" u="1"/>
        <n v="12" u="1"/>
        <n v="13" u="1"/>
        <n v="14" u="1"/>
        <n v="15" u="1"/>
        <n v="16" u="1"/>
        <n v="17" u="1"/>
        <n v="18" u="1"/>
        <n v="19" u="1"/>
        <n v="20" u="1"/>
        <n v="21" u="1"/>
        <n v="22" u="1"/>
        <n v="23" u="1"/>
        <n v="24"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6083"/>
    <n v="-3887.98"/>
    <n v="1"/>
    <s v="In-person Power Engineering role, internet activation fee, consistent monthly costs"/>
    <x v="0"/>
  </r>
  <r>
    <n v="6083"/>
    <n v="-3837.98"/>
    <n v="2"/>
    <s v="Same as above"/>
    <x v="1"/>
  </r>
  <r>
    <n v="6083"/>
    <n v="-3837.98"/>
    <n v="3"/>
    <s v="Same as above"/>
    <x v="2"/>
  </r>
  <r>
    <n v="6083"/>
    <n v="-3837.98"/>
    <n v="4"/>
    <s v="Same as above"/>
    <x v="3"/>
  </r>
  <r>
    <n v="6083"/>
    <n v="-3887.98"/>
    <n v="5"/>
    <s v="Same as above"/>
    <x v="4"/>
  </r>
  <r>
    <n v="6083"/>
    <n v="-3837.98"/>
    <n v="6"/>
    <s v="Same as above"/>
    <x v="5"/>
  </r>
  <r>
    <n v="6083"/>
    <n v="-3837.98"/>
    <n v="7"/>
    <s v="Same as above"/>
    <x v="6"/>
  </r>
  <r>
    <n v="10583"/>
    <n v="-3837.98"/>
    <n v="8"/>
    <s v="long-term industry &amp; Arctic experience benefit + $ 4,500"/>
    <x v="7"/>
  </r>
  <r>
    <m/>
    <m/>
    <m/>
    <m/>
    <x v="8"/>
  </r>
  <r>
    <m/>
    <m/>
    <m/>
    <m/>
    <x v="8"/>
  </r>
  <r>
    <m/>
    <m/>
    <m/>
    <m/>
    <x v="8"/>
  </r>
  <r>
    <m/>
    <m/>
    <m/>
    <m/>
    <x v="8"/>
  </r>
  <r>
    <m/>
    <m/>
    <m/>
    <m/>
    <x v="8"/>
  </r>
  <r>
    <m/>
    <m/>
    <m/>
    <m/>
    <x v="8"/>
  </r>
  <r>
    <m/>
    <m/>
    <m/>
    <m/>
    <x v="8"/>
  </r>
  <r>
    <m/>
    <m/>
    <m/>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87921-26C7-41D3-A689-DA782E43CD16}" name="CashFlowPivot" cacheId="51"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13">
  <location ref="A1:C11" firstHeaderRow="0" firstDataRow="1" firstDataCol="1"/>
  <pivotFields count="5">
    <pivotField dataField="1" showAll="0"/>
    <pivotField dataField="1" showAll="0"/>
    <pivotField showAll="0"/>
    <pivotField showAll="0"/>
    <pivotField axis="axisRow" showAll="0" sortType="ascending">
      <items count="26">
        <item x="0"/>
        <item x="1"/>
        <item x="2"/>
        <item x="3"/>
        <item x="4"/>
        <item x="5"/>
        <item x="6"/>
        <item x="7"/>
        <item m="1" x="9"/>
        <item m="1" x="10"/>
        <item m="1" x="11"/>
        <item m="1" x="12"/>
        <item m="1" x="13"/>
        <item m="1" x="14"/>
        <item m="1" x="15"/>
        <item m="1" x="16"/>
        <item m="1" x="17"/>
        <item m="1" x="18"/>
        <item m="1" x="19"/>
        <item m="1" x="20"/>
        <item m="1" x="21"/>
        <item m="1" x="22"/>
        <item m="1" x="23"/>
        <item m="1" x="24"/>
        <item x="8"/>
        <item t="default"/>
      </items>
    </pivotField>
  </pivotFields>
  <rowFields count="1">
    <field x="4"/>
  </rowFields>
  <rowItems count="10">
    <i>
      <x/>
    </i>
    <i>
      <x v="1"/>
    </i>
    <i>
      <x v="2"/>
    </i>
    <i>
      <x v="3"/>
    </i>
    <i>
      <x v="4"/>
    </i>
    <i>
      <x v="5"/>
    </i>
    <i>
      <x v="6"/>
    </i>
    <i>
      <x v="7"/>
    </i>
    <i>
      <x v="24"/>
    </i>
    <i t="grand">
      <x/>
    </i>
  </rowItems>
  <colFields count="1">
    <field x="-2"/>
  </colFields>
  <colItems count="2">
    <i>
      <x/>
    </i>
    <i i="1">
      <x v="1"/>
    </i>
  </colItems>
  <dataFields count="2">
    <dataField name="Sum of Income" fld="0" baseField="0" baseItem="0"/>
    <dataField name="Sum of Expenses" fld="1" baseField="0" baseItem="0"/>
  </dataFields>
  <formats count="6">
    <format dxfId="38">
      <pivotArea type="all" dataOnly="0" outline="0" fieldPosition="0"/>
    </format>
    <format dxfId="37">
      <pivotArea outline="0" collapsedLevelsAreSubtotals="1"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2" format="11"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CD76D3-E64A-414E-844C-4F54ED693645}" name="CashFlowsInput" displayName="CashFlowsInput" ref="A1:E17" totalsRowShown="0" headerRowDxfId="45" dataDxfId="44">
  <autoFilter ref="A1:E17" xr:uid="{5CCD76D3-E64A-414E-844C-4F54ED693645}"/>
  <sortState xmlns:xlrd2="http://schemas.microsoft.com/office/spreadsheetml/2017/richdata2" ref="A2:E17">
    <sortCondition ref="C1:C17"/>
  </sortState>
  <tableColumns count="5">
    <tableColumn id="1" xr3:uid="{455A84AB-00D3-409F-9EFF-952A8F37F8AB}" name="Income" dataDxfId="43" dataCellStyle="Currency"/>
    <tableColumn id="2" xr3:uid="{17558EE1-C441-4BC1-90D6-854DB507BCA9}" name="Expenses" dataDxfId="42" dataCellStyle="Currency"/>
    <tableColumn id="3" xr3:uid="{9258450A-10C8-494B-8731-ECDE83112060}" name="Order" dataDxfId="41"/>
    <tableColumn id="6" xr3:uid="{42794C45-6BB4-CA4A-9F50-43A38B09FC16}" name="Personal Considerations" dataDxfId="40"/>
    <tableColumn id="4" xr3:uid="{3D20B346-AE99-42BF-AF4A-2E78EDCD8F0A}" name="Time Period" dataDxfId="3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3C2C9B-1527-4AA4-848B-9751E9948743}" name="Table5" displayName="Table5" ref="A3:E4" totalsRowShown="0">
  <autoFilter ref="A3:E4" xr:uid="{5C3C2C9B-1527-4AA4-848B-9751E9948743}"/>
  <tableColumns count="5">
    <tableColumn id="1" xr3:uid="{5F06856F-B3E1-420F-8818-FF0E0CB6D4C1}" name="Income" dataCellStyle="Currency"/>
    <tableColumn id="2" xr3:uid="{627C1500-A2E5-4EAC-912F-2F075FEFA8E4}" name="Expenses"/>
    <tableColumn id="3" xr3:uid="{A9D24073-0D6B-472A-B9FF-EBA39B655899}" name="Order"/>
    <tableColumn id="4" xr3:uid="{5A3F80B6-0413-43A8-BC8D-D406091A44BA}" name="Personal Considerations"/>
    <tableColumn id="5" xr3:uid="{F0772231-84B8-408F-8D7A-8AC715F0D3EA}" name="Time Perio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56E00F-5700-4D09-AB9B-5D10F23A6341}" name="Table6" displayName="Table6" ref="A3:E4" totalsRowShown="0">
  <autoFilter ref="A3:E4" xr:uid="{A156E00F-5700-4D09-AB9B-5D10F23A6341}"/>
  <tableColumns count="5">
    <tableColumn id="1" xr3:uid="{56A40B06-E02F-477E-95C5-909527EE3CF1}" name="Income"/>
    <tableColumn id="2" xr3:uid="{0E65061F-850A-4D8B-AAEE-ED200DC2078B}" name="Expenses"/>
    <tableColumn id="3" xr3:uid="{CB4600AA-DC39-480A-B9E3-37FB0AAB4477}" name="Order"/>
    <tableColumn id="4" xr3:uid="{097AABF9-C9D9-4365-9277-D6C83E199396}" name="Personal Considerations"/>
    <tableColumn id="5" xr3:uid="{DC716C92-BB3E-4A0A-9F18-C57461951ED8}" name="Time Perio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58E192-50EC-48EE-A75D-204C78A94A9C}" name="Table7" displayName="Table7" ref="A3:E4" totalsRowShown="0">
  <autoFilter ref="A3:E4" xr:uid="{FF58E192-50EC-48EE-A75D-204C78A94A9C}"/>
  <tableColumns count="5">
    <tableColumn id="1" xr3:uid="{9A72ED7D-85BB-43FC-A800-498C1F927835}" name="Income"/>
    <tableColumn id="2" xr3:uid="{CDCEE517-FF18-4D36-8FAE-0BE9756A71A4}" name="Expenses"/>
    <tableColumn id="3" xr3:uid="{F3371E00-AFBD-4D7E-A021-35256EB43D23}" name="Order"/>
    <tableColumn id="4" xr3:uid="{5AD3D590-9D41-424F-9FD2-CE9376053A56}" name="Personal Considerations"/>
    <tableColumn id="5" xr3:uid="{8024B778-CB5C-4FC2-B96D-295E68B151A8}" name="Time Perio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47CA95B-CA5D-4D8B-9FF6-67B904163A94}" name="Table8" displayName="Table8" ref="A3:E4" totalsRowShown="0">
  <autoFilter ref="A3:E4" xr:uid="{747CA95B-CA5D-4D8B-9FF6-67B904163A94}"/>
  <tableColumns count="5">
    <tableColumn id="1" xr3:uid="{7AB0E7B6-F030-499C-A8E0-385B6DE2ECB6}" name="Income"/>
    <tableColumn id="2" xr3:uid="{0BF48A80-1D97-462A-A612-ED7C5432AA38}" name="Expenses"/>
    <tableColumn id="3" xr3:uid="{1ADF4B11-0AC7-4B0C-915E-B2C6FF873EBD}" name="Order"/>
    <tableColumn id="4" xr3:uid="{E4DAF8A6-1BBC-4376-92ED-85DCCFE3CEB4}" name="Personal Considerations"/>
    <tableColumn id="5" xr3:uid="{DC12D98F-661B-4697-9B78-AA94AB07B442}" name="Time Perio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C3C23E-664E-4D28-9666-8416FF8DEE13}" name="PresentWorth" displayName="PresentWorth" ref="A1:F25" totalsRowShown="0" headerRowDxfId="32" dataDxfId="31" tableBorderDxfId="30">
  <autoFilter ref="A1:F25" xr:uid="{71C3C23E-664E-4D28-9666-8416FF8DEE13}"/>
  <tableColumns count="6">
    <tableColumn id="1" xr3:uid="{5DFCEA7D-5A12-4762-A615-7A4489B67D60}" name="Inflow Future Value" dataDxfId="29"/>
    <tableColumn id="2" xr3:uid="{5D0AEE3E-8EBB-481E-B830-A1F45EAAC81D}" name="Outflow Future Value" dataDxfId="28"/>
    <tableColumn id="3" xr3:uid="{74F9AD2C-B28F-4C44-B678-9F4D9350388B}" name="Interest Rate" dataDxfId="27"/>
    <tableColumn id="4" xr3:uid="{6777F58F-C069-42F7-8002-C6A6C776F7A9}" name="Time" dataDxfId="26"/>
    <tableColumn id="5" xr3:uid="{0E3EBB65-1133-4589-8A95-1D58CCFE3696}" name="Inflow PW" dataDxfId="25"/>
    <tableColumn id="6" xr3:uid="{31781CFC-4AF1-4A40-9066-D58329BE5246}" name="Outflow PW" dataDxfId="24"/>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FAC90F-96EF-46F2-82BD-284626AAEC86}" name="ExtraTable" displayName="ExtraTable" ref="A1:D25" totalsRowShown="0" headerRowDxfId="23" dataDxfId="22">
  <autoFilter ref="A1:D25" xr:uid="{D6FAC90F-96EF-46F2-82BD-284626AAEC86}"/>
  <tableColumns count="4">
    <tableColumn id="1" xr3:uid="{8C554CD9-1AE9-4AE6-9392-F085F4C4C720}" name="Income" dataDxfId="21"/>
    <tableColumn id="2" xr3:uid="{BE052D2A-1743-42F7-95D0-D9D56BB72F10}" name="Expenses" dataDxfId="20"/>
    <tableColumn id="3" xr3:uid="{2F124008-1BEB-441E-9EE1-4530C6333D6C}" name="Order" dataDxfId="19"/>
    <tableColumn id="4" xr3:uid="{3D1C2A57-6391-4888-9804-FD65934E4E1C}" name="Time"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58E0FC-BD01-4D26-93AE-8A4A8EA88588}">
  <we:reference id="wa200000113" version="1.0.0.0" store="en-CA" storeType="OMEX"/>
  <we:alternateReferences>
    <we:reference id="WA200000113"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D0AA-13D1-4D93-8B1D-D33FBA010A51}">
  <dimension ref="A1:F21"/>
  <sheetViews>
    <sheetView zoomScale="102" zoomScaleNormal="102" workbookViewId="0">
      <selection activeCell="A10" sqref="A10"/>
    </sheetView>
  </sheetViews>
  <sheetFormatPr defaultColWidth="8.88671875" defaultRowHeight="13.8" x14ac:dyDescent="0.25"/>
  <cols>
    <col min="1" max="1" width="12.109375" style="8" bestFit="1" customWidth="1"/>
    <col min="2" max="2" width="11.33203125" style="8" bestFit="1" customWidth="1"/>
    <col min="3" max="3" width="7.88671875" style="9" bestFit="1" customWidth="1"/>
    <col min="4" max="4" width="71" style="9" bestFit="1" customWidth="1"/>
    <col min="5" max="5" width="13.5546875" style="8" customWidth="1"/>
    <col min="6" max="6" width="8.88671875" style="12"/>
    <col min="7" max="9" width="8.88671875" style="11"/>
    <col min="10" max="10" width="12.44140625" style="11" bestFit="1" customWidth="1"/>
    <col min="11" max="11" width="13.6640625" style="11" bestFit="1" customWidth="1"/>
    <col min="12" max="12" width="15.44140625" style="11" bestFit="1" customWidth="1"/>
    <col min="13" max="16384" width="8.88671875" style="11"/>
  </cols>
  <sheetData>
    <row r="1" spans="1:6" x14ac:dyDescent="0.25">
      <c r="A1" s="8" t="s">
        <v>0</v>
      </c>
      <c r="B1" s="8" t="s">
        <v>1</v>
      </c>
      <c r="C1" s="9" t="s">
        <v>2</v>
      </c>
      <c r="D1" s="9" t="s">
        <v>3</v>
      </c>
      <c r="E1" s="10" t="s">
        <v>4</v>
      </c>
      <c r="F1" s="11"/>
    </row>
    <row r="2" spans="1:6" ht="14.4" x14ac:dyDescent="0.3">
      <c r="A2" s="18">
        <v>6083</v>
      </c>
      <c r="B2" s="18">
        <v>-3887.98</v>
      </c>
      <c r="C2" s="10">
        <v>1</v>
      </c>
      <c r="D2" t="s">
        <v>25</v>
      </c>
      <c r="E2" s="10">
        <v>1</v>
      </c>
      <c r="F2" s="11"/>
    </row>
    <row r="3" spans="1:6" ht="14.4" x14ac:dyDescent="0.3">
      <c r="A3" s="18">
        <v>6083</v>
      </c>
      <c r="B3" s="18">
        <v>-3837.98</v>
      </c>
      <c r="C3" s="10">
        <v>2</v>
      </c>
      <c r="D3" s="12" t="s">
        <v>15</v>
      </c>
      <c r="E3" s="10">
        <v>2</v>
      </c>
      <c r="F3" s="11"/>
    </row>
    <row r="4" spans="1:6" ht="14.4" x14ac:dyDescent="0.3">
      <c r="A4" s="18">
        <v>6083</v>
      </c>
      <c r="B4" s="18">
        <v>-3837.98</v>
      </c>
      <c r="C4" s="10">
        <v>3</v>
      </c>
      <c r="D4" s="12" t="s">
        <v>15</v>
      </c>
      <c r="E4" s="10">
        <v>3</v>
      </c>
      <c r="F4" s="11"/>
    </row>
    <row r="5" spans="1:6" ht="14.4" x14ac:dyDescent="0.3">
      <c r="A5" s="18">
        <v>6083</v>
      </c>
      <c r="B5" s="18">
        <v>-3837.98</v>
      </c>
      <c r="C5" s="10">
        <v>4</v>
      </c>
      <c r="D5" s="12" t="s">
        <v>15</v>
      </c>
      <c r="E5" s="10">
        <v>4</v>
      </c>
      <c r="F5" s="11"/>
    </row>
    <row r="6" spans="1:6" ht="14.4" x14ac:dyDescent="0.3">
      <c r="A6" s="18">
        <v>6083</v>
      </c>
      <c r="B6" s="18">
        <v>-3887.98</v>
      </c>
      <c r="C6" s="10">
        <v>5</v>
      </c>
      <c r="D6" s="12" t="s">
        <v>15</v>
      </c>
      <c r="E6" s="10">
        <v>5</v>
      </c>
      <c r="F6" s="11"/>
    </row>
    <row r="7" spans="1:6" ht="14.4" x14ac:dyDescent="0.3">
      <c r="A7" s="18">
        <v>6083</v>
      </c>
      <c r="B7" s="18">
        <v>-3837.98</v>
      </c>
      <c r="C7" s="10">
        <v>6</v>
      </c>
      <c r="D7" s="12" t="s">
        <v>15</v>
      </c>
      <c r="E7" s="10">
        <v>6</v>
      </c>
      <c r="F7" s="11"/>
    </row>
    <row r="8" spans="1:6" ht="14.4" x14ac:dyDescent="0.3">
      <c r="A8" s="18">
        <v>6083</v>
      </c>
      <c r="B8" s="18">
        <v>-3837.98</v>
      </c>
      <c r="C8" s="10">
        <v>7</v>
      </c>
      <c r="D8" s="12" t="s">
        <v>15</v>
      </c>
      <c r="E8" s="10">
        <v>7</v>
      </c>
      <c r="F8" s="11"/>
    </row>
    <row r="9" spans="1:6" ht="14.4" x14ac:dyDescent="0.3">
      <c r="A9" s="18">
        <f>SUM(6083+4500)</f>
        <v>10583</v>
      </c>
      <c r="B9" s="18">
        <v>-3837.98</v>
      </c>
      <c r="C9" s="10">
        <v>8</v>
      </c>
      <c r="D9" t="s">
        <v>26</v>
      </c>
      <c r="E9" s="10">
        <v>8</v>
      </c>
      <c r="F9" s="11"/>
    </row>
    <row r="10" spans="1:6" x14ac:dyDescent="0.25">
      <c r="F10" s="11"/>
    </row>
    <row r="11" spans="1:6" x14ac:dyDescent="0.25">
      <c r="F11" s="11"/>
    </row>
    <row r="12" spans="1:6" x14ac:dyDescent="0.25">
      <c r="F12" s="11"/>
    </row>
    <row r="13" spans="1:6" x14ac:dyDescent="0.25">
      <c r="F13" s="11"/>
    </row>
    <row r="14" spans="1:6" x14ac:dyDescent="0.25">
      <c r="F14" s="11"/>
    </row>
    <row r="15" spans="1:6" x14ac:dyDescent="0.25">
      <c r="F15" s="11"/>
    </row>
    <row r="16" spans="1:6" x14ac:dyDescent="0.25">
      <c r="F16" s="11"/>
    </row>
    <row r="17" spans="1:6" x14ac:dyDescent="0.25">
      <c r="F17" s="11"/>
    </row>
    <row r="18" spans="1:6" x14ac:dyDescent="0.25">
      <c r="A18" s="20"/>
      <c r="F18" s="11"/>
    </row>
    <row r="19" spans="1:6" x14ac:dyDescent="0.25">
      <c r="F19" s="11"/>
    </row>
    <row r="20" spans="1:6" x14ac:dyDescent="0.25">
      <c r="A20" s="8" t="s">
        <v>19</v>
      </c>
    </row>
    <row r="21" spans="1:6" x14ac:dyDescent="0.25">
      <c r="A21" s="8" t="s">
        <v>21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BB8B-DA18-4381-B458-23FF07DDBFF8}">
  <dimension ref="A1:E5"/>
  <sheetViews>
    <sheetView workbookViewId="0">
      <selection activeCell="A4" sqref="A4"/>
    </sheetView>
  </sheetViews>
  <sheetFormatPr defaultRowHeight="14.4" x14ac:dyDescent="0.3"/>
  <cols>
    <col min="1" max="1" width="10.44140625" bestFit="1" customWidth="1"/>
    <col min="2" max="2" width="11" bestFit="1" customWidth="1"/>
    <col min="3" max="3" width="9" bestFit="1" customWidth="1"/>
    <col min="4" max="4" width="23.6640625" bestFit="1" customWidth="1"/>
    <col min="5" max="5" width="13.109375" bestFit="1" customWidth="1"/>
  </cols>
  <sheetData>
    <row r="1" spans="1:5" x14ac:dyDescent="0.3">
      <c r="A1" s="19" t="s">
        <v>16</v>
      </c>
    </row>
    <row r="3" spans="1:5" x14ac:dyDescent="0.3">
      <c r="A3" t="s">
        <v>0</v>
      </c>
      <c r="B3" t="s">
        <v>1</v>
      </c>
      <c r="C3" t="s">
        <v>2</v>
      </c>
      <c r="D3" t="s">
        <v>3</v>
      </c>
      <c r="E3" t="s">
        <v>4</v>
      </c>
    </row>
    <row r="4" spans="1:5" x14ac:dyDescent="0.3">
      <c r="A4" s="18">
        <v>4301.55</v>
      </c>
      <c r="C4">
        <v>1</v>
      </c>
      <c r="E4">
        <v>1</v>
      </c>
    </row>
    <row r="5" spans="1:5" x14ac:dyDescent="0.3">
      <c r="A5" s="1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207D-D720-4D1F-9AEB-69D9430DBC9D}">
  <dimension ref="A1:E4"/>
  <sheetViews>
    <sheetView workbookViewId="0">
      <selection activeCell="A3" sqref="A3:E4"/>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19" t="s">
        <v>17</v>
      </c>
    </row>
    <row r="3" spans="1:5" x14ac:dyDescent="0.3">
      <c r="A3" t="s">
        <v>0</v>
      </c>
      <c r="B3" t="s">
        <v>1</v>
      </c>
      <c r="C3" t="s">
        <v>2</v>
      </c>
      <c r="D3" t="s">
        <v>3</v>
      </c>
      <c r="E3" t="s">
        <v>4</v>
      </c>
    </row>
    <row r="4" spans="1:5" x14ac:dyDescent="0.3">
      <c r="C4">
        <v>1</v>
      </c>
      <c r="E4">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1876-05DB-461A-B2B8-1111FD37EA2C}">
  <dimension ref="A1:E4"/>
  <sheetViews>
    <sheetView workbookViewId="0">
      <selection activeCell="B8" sqref="B8"/>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19" t="s">
        <v>16</v>
      </c>
    </row>
    <row r="3" spans="1:5" x14ac:dyDescent="0.3">
      <c r="A3" t="s">
        <v>0</v>
      </c>
      <c r="B3" t="s">
        <v>1</v>
      </c>
      <c r="C3" t="s">
        <v>2</v>
      </c>
      <c r="D3" t="s">
        <v>3</v>
      </c>
      <c r="E3" t="s">
        <v>4</v>
      </c>
    </row>
    <row r="4" spans="1:5" x14ac:dyDescent="0.3">
      <c r="C4">
        <v>1</v>
      </c>
      <c r="E4">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4DC8-38CE-4695-9158-821E458CC49B}">
  <dimension ref="A1:E4"/>
  <sheetViews>
    <sheetView workbookViewId="0">
      <selection activeCell="A3" sqref="A3:E4"/>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19" t="s">
        <v>18</v>
      </c>
    </row>
    <row r="3" spans="1:5" x14ac:dyDescent="0.3">
      <c r="A3" t="s">
        <v>0</v>
      </c>
      <c r="B3" t="s">
        <v>1</v>
      </c>
      <c r="C3" t="s">
        <v>2</v>
      </c>
      <c r="D3" t="s">
        <v>3</v>
      </c>
      <c r="E3" t="s">
        <v>4</v>
      </c>
    </row>
    <row r="4" spans="1:5" x14ac:dyDescent="0.3">
      <c r="C4">
        <v>16</v>
      </c>
      <c r="E4">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6B376-C413-4EE8-B344-5B0FF20B5EC4}">
  <dimension ref="A1:M80"/>
  <sheetViews>
    <sheetView tabSelected="1" topLeftCell="A27" zoomScaleNormal="100" workbookViewId="0">
      <selection activeCell="B48" sqref="B48"/>
    </sheetView>
  </sheetViews>
  <sheetFormatPr defaultColWidth="8.88671875" defaultRowHeight="13.8" x14ac:dyDescent="0.25"/>
  <cols>
    <col min="1" max="1" width="14.21875" style="11" bestFit="1" customWidth="1"/>
    <col min="2" max="2" width="12.33203125" style="11" bestFit="1" customWidth="1"/>
    <col min="3" max="3" width="14.33203125" style="11" bestFit="1" customWidth="1"/>
    <col min="4" max="12" width="8.88671875" style="11"/>
    <col min="13" max="13" width="30.44140625" style="11" customWidth="1"/>
    <col min="14" max="16384" width="8.88671875" style="11"/>
  </cols>
  <sheetData>
    <row r="1" spans="1:3" x14ac:dyDescent="0.25">
      <c r="A1" s="43" t="s">
        <v>5</v>
      </c>
      <c r="B1" s="44" t="s">
        <v>6</v>
      </c>
      <c r="C1" s="44" t="s">
        <v>7</v>
      </c>
    </row>
    <row r="2" spans="1:3" x14ac:dyDescent="0.25">
      <c r="A2" s="12">
        <v>1</v>
      </c>
      <c r="B2" s="45">
        <v>6083</v>
      </c>
      <c r="C2" s="45">
        <v>-3887.98</v>
      </c>
    </row>
    <row r="3" spans="1:3" x14ac:dyDescent="0.25">
      <c r="A3" s="12">
        <v>2</v>
      </c>
      <c r="B3" s="45">
        <v>6083</v>
      </c>
      <c r="C3" s="45">
        <v>-3837.98</v>
      </c>
    </row>
    <row r="4" spans="1:3" x14ac:dyDescent="0.25">
      <c r="A4" s="12">
        <v>3</v>
      </c>
      <c r="B4" s="45">
        <v>6083</v>
      </c>
      <c r="C4" s="45">
        <v>-3837.98</v>
      </c>
    </row>
    <row r="5" spans="1:3" x14ac:dyDescent="0.25">
      <c r="A5" s="12">
        <v>4</v>
      </c>
      <c r="B5" s="45">
        <v>6083</v>
      </c>
      <c r="C5" s="45">
        <v>-3837.98</v>
      </c>
    </row>
    <row r="6" spans="1:3" x14ac:dyDescent="0.25">
      <c r="A6" s="12">
        <v>5</v>
      </c>
      <c r="B6" s="45">
        <v>6083</v>
      </c>
      <c r="C6" s="45">
        <v>-3887.98</v>
      </c>
    </row>
    <row r="7" spans="1:3" x14ac:dyDescent="0.25">
      <c r="A7" s="12">
        <v>6</v>
      </c>
      <c r="B7" s="45">
        <v>6083</v>
      </c>
      <c r="C7" s="45">
        <v>-3837.98</v>
      </c>
    </row>
    <row r="8" spans="1:3" x14ac:dyDescent="0.25">
      <c r="A8" s="12">
        <v>7</v>
      </c>
      <c r="B8" s="45">
        <v>6083</v>
      </c>
      <c r="C8" s="45">
        <v>-3837.98</v>
      </c>
    </row>
    <row r="9" spans="1:3" x14ac:dyDescent="0.25">
      <c r="A9" s="12">
        <v>8</v>
      </c>
      <c r="B9" s="45">
        <v>10583</v>
      </c>
      <c r="C9" s="45">
        <v>-3837.98</v>
      </c>
    </row>
    <row r="10" spans="1:3" x14ac:dyDescent="0.25">
      <c r="A10" s="12" t="s">
        <v>20</v>
      </c>
      <c r="B10" s="45"/>
      <c r="C10" s="45"/>
    </row>
    <row r="11" spans="1:3" x14ac:dyDescent="0.25">
      <c r="A11" s="12" t="s">
        <v>8</v>
      </c>
      <c r="B11" s="45">
        <v>53164</v>
      </c>
      <c r="C11" s="45">
        <v>-30803.84</v>
      </c>
    </row>
    <row r="12" spans="1:3" ht="14.4" x14ac:dyDescent="0.3">
      <c r="A12"/>
      <c r="B12"/>
      <c r="C12"/>
    </row>
    <row r="13" spans="1:3" ht="14.4" x14ac:dyDescent="0.3">
      <c r="A13"/>
      <c r="B13"/>
      <c r="C13"/>
    </row>
    <row r="14" spans="1:3" ht="14.4" x14ac:dyDescent="0.3">
      <c r="A14"/>
      <c r="B14"/>
      <c r="C14"/>
    </row>
    <row r="15" spans="1:3" ht="14.4" x14ac:dyDescent="0.3">
      <c r="A15"/>
      <c r="B15"/>
      <c r="C15"/>
    </row>
    <row r="16" spans="1:3" ht="14.4" x14ac:dyDescent="0.3">
      <c r="A16"/>
      <c r="B16"/>
      <c r="C16"/>
    </row>
    <row r="17" spans="1:13" ht="14.4" x14ac:dyDescent="0.3">
      <c r="A17"/>
      <c r="B17"/>
      <c r="C17"/>
    </row>
    <row r="18" spans="1:13" ht="14.4" x14ac:dyDescent="0.3">
      <c r="A18"/>
      <c r="B18"/>
      <c r="C18"/>
    </row>
    <row r="19" spans="1:13" ht="14.4" x14ac:dyDescent="0.3">
      <c r="A19"/>
      <c r="B19"/>
      <c r="C19"/>
    </row>
    <row r="22" spans="1:13" ht="14.4" customHeight="1" x14ac:dyDescent="0.25">
      <c r="E22" s="34" t="s">
        <v>35</v>
      </c>
      <c r="F22" s="35"/>
      <c r="G22" s="35"/>
      <c r="H22" s="35"/>
      <c r="I22" s="35"/>
      <c r="J22" s="35"/>
      <c r="K22" s="35"/>
      <c r="L22" s="35"/>
      <c r="M22" s="36"/>
    </row>
    <row r="23" spans="1:13" ht="14.4" customHeight="1" x14ac:dyDescent="0.25">
      <c r="E23" s="37"/>
      <c r="F23" s="38"/>
      <c r="G23" s="38"/>
      <c r="H23" s="38"/>
      <c r="I23" s="38"/>
      <c r="J23" s="38"/>
      <c r="K23" s="38"/>
      <c r="L23" s="38"/>
      <c r="M23" s="39"/>
    </row>
    <row r="24" spans="1:13" ht="14.4" customHeight="1" x14ac:dyDescent="0.25">
      <c r="E24" s="37"/>
      <c r="F24" s="38"/>
      <c r="G24" s="38"/>
      <c r="H24" s="38"/>
      <c r="I24" s="38"/>
      <c r="J24" s="38"/>
      <c r="K24" s="38"/>
      <c r="L24" s="38"/>
      <c r="M24" s="39"/>
    </row>
    <row r="25" spans="1:13" ht="14.4" customHeight="1" x14ac:dyDescent="0.25">
      <c r="E25" s="37"/>
      <c r="F25" s="38"/>
      <c r="G25" s="38"/>
      <c r="H25" s="38"/>
      <c r="I25" s="38"/>
      <c r="J25" s="38"/>
      <c r="K25" s="38"/>
      <c r="L25" s="38"/>
      <c r="M25" s="39"/>
    </row>
    <row r="26" spans="1:13" ht="14.4" customHeight="1" x14ac:dyDescent="0.25">
      <c r="E26" s="37"/>
      <c r="F26" s="38"/>
      <c r="G26" s="38"/>
      <c r="H26" s="38"/>
      <c r="I26" s="38"/>
      <c r="J26" s="38"/>
      <c r="K26" s="38"/>
      <c r="L26" s="38"/>
      <c r="M26" s="39"/>
    </row>
    <row r="27" spans="1:13" ht="14.4" customHeight="1" x14ac:dyDescent="0.25">
      <c r="E27" s="37"/>
      <c r="F27" s="38"/>
      <c r="G27" s="38"/>
      <c r="H27" s="38"/>
      <c r="I27" s="38"/>
      <c r="J27" s="38"/>
      <c r="K27" s="38"/>
      <c r="L27" s="38"/>
      <c r="M27" s="39"/>
    </row>
    <row r="28" spans="1:13" ht="14.4" customHeight="1" x14ac:dyDescent="0.25">
      <c r="E28" s="37"/>
      <c r="F28" s="38"/>
      <c r="G28" s="38"/>
      <c r="H28" s="38"/>
      <c r="I28" s="38"/>
      <c r="J28" s="38"/>
      <c r="K28" s="38"/>
      <c r="L28" s="38"/>
      <c r="M28" s="39"/>
    </row>
    <row r="29" spans="1:13" ht="14.4" customHeight="1" x14ac:dyDescent="0.25">
      <c r="E29" s="37"/>
      <c r="F29" s="38"/>
      <c r="G29" s="38"/>
      <c r="H29" s="38"/>
      <c r="I29" s="38"/>
      <c r="J29" s="38"/>
      <c r="K29" s="38"/>
      <c r="L29" s="38"/>
      <c r="M29" s="39"/>
    </row>
    <row r="30" spans="1:13" ht="14.4" customHeight="1" x14ac:dyDescent="0.25">
      <c r="E30" s="37"/>
      <c r="F30" s="38"/>
      <c r="G30" s="38"/>
      <c r="H30" s="38"/>
      <c r="I30" s="38"/>
      <c r="J30" s="38"/>
      <c r="K30" s="38"/>
      <c r="L30" s="38"/>
      <c r="M30" s="39"/>
    </row>
    <row r="31" spans="1:13" ht="14.4" customHeight="1" x14ac:dyDescent="0.25">
      <c r="E31" s="37"/>
      <c r="F31" s="38"/>
      <c r="G31" s="38"/>
      <c r="H31" s="38"/>
      <c r="I31" s="38"/>
      <c r="J31" s="38"/>
      <c r="K31" s="38"/>
      <c r="L31" s="38"/>
      <c r="M31" s="39"/>
    </row>
    <row r="32" spans="1:13" ht="14.4" customHeight="1" x14ac:dyDescent="0.25">
      <c r="E32" s="37"/>
      <c r="F32" s="38"/>
      <c r="G32" s="38"/>
      <c r="H32" s="38"/>
      <c r="I32" s="38"/>
      <c r="J32" s="38"/>
      <c r="K32" s="38"/>
      <c r="L32" s="38"/>
      <c r="M32" s="39"/>
    </row>
    <row r="33" spans="5:13" ht="14.4" customHeight="1" x14ac:dyDescent="0.25">
      <c r="E33" s="37"/>
      <c r="F33" s="38"/>
      <c r="G33" s="38"/>
      <c r="H33" s="38"/>
      <c r="I33" s="38"/>
      <c r="J33" s="38"/>
      <c r="K33" s="38"/>
      <c r="L33" s="38"/>
      <c r="M33" s="39"/>
    </row>
    <row r="34" spans="5:13" ht="14.4" customHeight="1" x14ac:dyDescent="0.25">
      <c r="E34" s="37"/>
      <c r="F34" s="38"/>
      <c r="G34" s="38"/>
      <c r="H34" s="38"/>
      <c r="I34" s="38"/>
      <c r="J34" s="38"/>
      <c r="K34" s="38"/>
      <c r="L34" s="38"/>
      <c r="M34" s="39"/>
    </row>
    <row r="35" spans="5:13" ht="14.4" customHeight="1" x14ac:dyDescent="0.25">
      <c r="E35" s="37"/>
      <c r="F35" s="38"/>
      <c r="G35" s="38"/>
      <c r="H35" s="38"/>
      <c r="I35" s="38"/>
      <c r="J35" s="38"/>
      <c r="K35" s="38"/>
      <c r="L35" s="38"/>
      <c r="M35" s="39"/>
    </row>
    <row r="36" spans="5:13" ht="14.4" customHeight="1" x14ac:dyDescent="0.25">
      <c r="E36" s="37"/>
      <c r="F36" s="38"/>
      <c r="G36" s="38"/>
      <c r="H36" s="38"/>
      <c r="I36" s="38"/>
      <c r="J36" s="38"/>
      <c r="K36" s="38"/>
      <c r="L36" s="38"/>
      <c r="M36" s="39"/>
    </row>
    <row r="37" spans="5:13" ht="14.4" customHeight="1" x14ac:dyDescent="0.25">
      <c r="E37" s="37"/>
      <c r="F37" s="38"/>
      <c r="G37" s="38"/>
      <c r="H37" s="38"/>
      <c r="I37" s="38"/>
      <c r="J37" s="38"/>
      <c r="K37" s="38"/>
      <c r="L37" s="38"/>
      <c r="M37" s="39"/>
    </row>
    <row r="38" spans="5:13" ht="14.4" customHeight="1" thickBot="1" x14ac:dyDescent="0.3">
      <c r="E38" s="40"/>
      <c r="F38" s="41"/>
      <c r="G38" s="41"/>
      <c r="H38" s="41"/>
      <c r="I38" s="41"/>
      <c r="J38" s="41"/>
      <c r="K38" s="41"/>
      <c r="L38" s="41"/>
      <c r="M38" s="42"/>
    </row>
    <row r="41" spans="5:13" x14ac:dyDescent="0.25">
      <c r="E41" s="17" t="s">
        <v>30</v>
      </c>
    </row>
    <row r="42" spans="5:13" ht="14.4" x14ac:dyDescent="0.25">
      <c r="E42" s="33" t="s">
        <v>31</v>
      </c>
    </row>
    <row r="43" spans="5:13" ht="14.4" x14ac:dyDescent="0.25">
      <c r="E43" s="33" t="s">
        <v>32</v>
      </c>
    </row>
    <row r="44" spans="5:13" ht="14.4" x14ac:dyDescent="0.25">
      <c r="E44" s="33" t="s">
        <v>33</v>
      </c>
    </row>
    <row r="47" spans="5:13" x14ac:dyDescent="0.25">
      <c r="E47" s="11" t="s">
        <v>34</v>
      </c>
    </row>
    <row r="49" spans="5:5" x14ac:dyDescent="0.25">
      <c r="E49" s="11" t="s">
        <v>36</v>
      </c>
    </row>
    <row r="50" spans="5:5" x14ac:dyDescent="0.25">
      <c r="E50" s="11" t="s">
        <v>37</v>
      </c>
    </row>
    <row r="51" spans="5:5" x14ac:dyDescent="0.25">
      <c r="E51" s="11" t="s">
        <v>38</v>
      </c>
    </row>
    <row r="63" spans="5:5" x14ac:dyDescent="0.25">
      <c r="E63" s="11" t="s">
        <v>29</v>
      </c>
    </row>
    <row r="76" spans="1:1" ht="14.4" x14ac:dyDescent="0.3">
      <c r="A76"/>
    </row>
    <row r="77" spans="1:1" ht="14.4" x14ac:dyDescent="0.3">
      <c r="A77"/>
    </row>
    <row r="78" spans="1:1" ht="14.4" x14ac:dyDescent="0.3">
      <c r="A78" t="s">
        <v>27</v>
      </c>
    </row>
    <row r="79" spans="1:1" ht="14.4" x14ac:dyDescent="0.3">
      <c r="A79"/>
    </row>
    <row r="80" spans="1:1" ht="14.4" x14ac:dyDescent="0.3">
      <c r="A80" t="s">
        <v>28</v>
      </c>
    </row>
  </sheetData>
  <mergeCells count="1">
    <mergeCell ref="E22:M38"/>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E9D8-5026-9240-8D80-1EAC74298073}">
  <dimension ref="A1:O25"/>
  <sheetViews>
    <sheetView workbookViewId="0">
      <selection activeCell="I19" sqref="I19"/>
    </sheetView>
  </sheetViews>
  <sheetFormatPr defaultColWidth="11.44140625" defaultRowHeight="14.4" x14ac:dyDescent="0.3"/>
  <cols>
    <col min="1" max="1" width="18.5546875" customWidth="1"/>
    <col min="2" max="2" width="20" customWidth="1"/>
    <col min="3" max="3" width="13.44140625" customWidth="1"/>
    <col min="4" max="4" width="11.88671875" bestFit="1" customWidth="1"/>
    <col min="6" max="6" width="12.44140625" customWidth="1"/>
    <col min="9" max="9" width="54" bestFit="1" customWidth="1"/>
  </cols>
  <sheetData>
    <row r="1" spans="1:15" x14ac:dyDescent="0.3">
      <c r="A1" s="4" t="s">
        <v>9</v>
      </c>
      <c r="B1" s="5" t="s">
        <v>10</v>
      </c>
      <c r="C1" s="5" t="s">
        <v>11</v>
      </c>
      <c r="D1" s="5" t="s">
        <v>12</v>
      </c>
      <c r="E1" s="6" t="s">
        <v>13</v>
      </c>
      <c r="F1" s="7" t="s">
        <v>14</v>
      </c>
      <c r="G1" s="2"/>
      <c r="H1" s="2"/>
      <c r="I1" s="2"/>
      <c r="J1" s="2"/>
      <c r="K1" s="2"/>
      <c r="L1" s="2"/>
      <c r="M1" s="2"/>
      <c r="N1" s="2"/>
      <c r="O1" s="2"/>
    </row>
    <row r="2" spans="1:15" x14ac:dyDescent="0.3">
      <c r="A2" s="13">
        <v>6083</v>
      </c>
      <c r="B2" s="13">
        <v>-3887.98</v>
      </c>
      <c r="C2" s="24">
        <f>0.06/26</f>
        <v>2.3076923076923075E-3</v>
      </c>
      <c r="D2" s="25">
        <f>26/12</f>
        <v>2.1666666666666665</v>
      </c>
      <c r="E2" s="26">
        <f>PresentWorth[[#This Row],[Inflow Future Value]]/ (1 + PresentWorth[[#This Row],[Interest Rate]]) ^ PresentWorth[[#This Row],[Time]]</f>
        <v>6052.6957765980351</v>
      </c>
      <c r="F2" s="26">
        <f>PresentWorth[[#This Row],[Outflow Future Value]]/ ((1 + PresentWorth[[#This Row],[Interest Rate]]) ^ PresentWorth[[#This Row],[Time]])</f>
        <v>-3868.6109034189753</v>
      </c>
      <c r="G2" s="3"/>
      <c r="H2" s="3"/>
      <c r="I2" s="3"/>
      <c r="J2" s="3"/>
      <c r="K2" s="3"/>
      <c r="L2" s="3"/>
      <c r="M2" s="3"/>
      <c r="N2" s="3"/>
      <c r="O2" s="3"/>
    </row>
    <row r="3" spans="1:15" x14ac:dyDescent="0.3">
      <c r="A3" s="14">
        <v>6083</v>
      </c>
      <c r="B3" s="13">
        <v>-3837.98</v>
      </c>
      <c r="C3" s="24">
        <f t="shared" ref="C3:C9" si="0">0.06/26</f>
        <v>2.3076923076923075E-3</v>
      </c>
      <c r="D3" s="28">
        <f>$D2*2</f>
        <v>4.333333333333333</v>
      </c>
      <c r="E3" s="29">
        <f>PresentWorth[[#This Row],[Inflow Future Value]]/ (1 + PresentWorth[[#This Row],[Interest Rate]]) ^ PresentWorth[[#This Row],[Time]]</f>
        <v>6022.5425224474257</v>
      </c>
      <c r="F3" s="29">
        <f>PresentWorth[[#This Row],[Outflow Future Value]]/ ((1 + PresentWorth[[#This Row],[Interest Rate]]) ^ PresentWorth[[#This Row],[Time]])</f>
        <v>-3799.8352375970358</v>
      </c>
      <c r="G3" s="2"/>
      <c r="H3" s="2"/>
      <c r="I3" s="2"/>
      <c r="J3" s="2"/>
      <c r="K3" s="2"/>
      <c r="L3" s="2"/>
      <c r="M3" s="2"/>
      <c r="N3" s="2"/>
      <c r="O3" s="2"/>
    </row>
    <row r="4" spans="1:15" x14ac:dyDescent="0.3">
      <c r="A4" s="13">
        <v>6083</v>
      </c>
      <c r="B4" s="13">
        <v>-3837.98</v>
      </c>
      <c r="C4" s="24">
        <f t="shared" si="0"/>
        <v>2.3076923076923075E-3</v>
      </c>
      <c r="D4" s="25">
        <f>$D2*3</f>
        <v>6.5</v>
      </c>
      <c r="E4" s="26">
        <f>PresentWorth[[#This Row],[Inflow Future Value]]/ (1 + PresentWorth[[#This Row],[Interest Rate]]) ^ PresentWorth[[#This Row],[Time]]</f>
        <v>5992.5394854511933</v>
      </c>
      <c r="F4" s="26">
        <f>PresentWorth[[#This Row],[Outflow Future Value]]/ ((1 + PresentWorth[[#This Row],[Interest Rate]]) ^ PresentWorth[[#This Row],[Time]])</f>
        <v>-3780.9052596370161</v>
      </c>
      <c r="G4" s="1"/>
      <c r="H4" s="1"/>
      <c r="I4" s="1"/>
      <c r="J4" s="1"/>
      <c r="K4" s="1"/>
      <c r="L4" s="1"/>
      <c r="M4" s="1"/>
      <c r="N4" s="1"/>
      <c r="O4" s="1"/>
    </row>
    <row r="5" spans="1:15" x14ac:dyDescent="0.3">
      <c r="A5" s="14">
        <v>6083</v>
      </c>
      <c r="B5" s="13">
        <v>-3837.98</v>
      </c>
      <c r="C5" s="24">
        <f t="shared" si="0"/>
        <v>2.3076923076923075E-3</v>
      </c>
      <c r="D5" s="28">
        <f>D2*4</f>
        <v>8.6666666666666661</v>
      </c>
      <c r="E5" s="29">
        <f>PresentWorth[[#This Row],[Inflow Future Value]]/ (1 + PresentWorth[[#This Row],[Interest Rate]]) ^ PresentWorth[[#This Row],[Time]]</f>
        <v>5962.6859172591476</v>
      </c>
      <c r="F5" s="29">
        <f>PresentWorth[[#This Row],[Outflow Future Value]]/ ((1 + PresentWorth[[#This Row],[Interest Rate]]) ^ PresentWorth[[#This Row],[Time]])</f>
        <v>-3762.0695868358152</v>
      </c>
      <c r="G5" s="2"/>
      <c r="H5" s="2"/>
      <c r="I5" s="2"/>
      <c r="J5" s="2"/>
      <c r="K5" s="2"/>
      <c r="L5" s="2"/>
      <c r="M5" s="2"/>
      <c r="N5" s="2"/>
      <c r="O5" s="2"/>
    </row>
    <row r="6" spans="1:15" x14ac:dyDescent="0.3">
      <c r="A6" s="13">
        <v>6083</v>
      </c>
      <c r="B6" s="13">
        <v>-3887.98</v>
      </c>
      <c r="C6" s="24">
        <f t="shared" si="0"/>
        <v>2.3076923076923075E-3</v>
      </c>
      <c r="D6" s="25">
        <f>D2*5</f>
        <v>10.833333333333332</v>
      </c>
      <c r="E6" s="26">
        <f>PresentWorth[[#This Row],[Inflow Future Value]]/ (1 + PresentWorth[[#This Row],[Interest Rate]]) ^ PresentWorth[[#This Row],[Time]]</f>
        <v>5932.9810732492233</v>
      </c>
      <c r="F6" s="26">
        <f>PresentWorth[[#This Row],[Outflow Future Value]]/ ((1 + PresentWorth[[#This Row],[Interest Rate]]) ^ PresentWorth[[#This Row],[Time]])</f>
        <v>-3792.0946495432377</v>
      </c>
      <c r="G6" s="2"/>
      <c r="H6" s="2"/>
      <c r="I6" s="2" t="s">
        <v>22</v>
      </c>
      <c r="J6" s="22">
        <f>SUM(E2:E9)</f>
        <v>51909.386803839356</v>
      </c>
      <c r="K6" s="2"/>
      <c r="L6" s="2"/>
      <c r="M6" s="2"/>
      <c r="N6" s="2"/>
      <c r="O6" s="2"/>
    </row>
    <row r="7" spans="1:15" x14ac:dyDescent="0.3">
      <c r="A7" s="14">
        <v>6083</v>
      </c>
      <c r="B7" s="13">
        <v>-3837.98</v>
      </c>
      <c r="C7" s="24">
        <f t="shared" si="0"/>
        <v>2.3076923076923075E-3</v>
      </c>
      <c r="D7" s="28">
        <f>D2*6</f>
        <v>13</v>
      </c>
      <c r="E7" s="29">
        <f>PresentWorth[[#This Row],[Inflow Future Value]]/ (1 + PresentWorth[[#This Row],[Interest Rate]]) ^ PresentWorth[[#This Row],[Time]]</f>
        <v>5903.4242125089013</v>
      </c>
      <c r="F7" s="29">
        <f>PresentWorth[[#This Row],[Outflow Future Value]]/ ((1 + PresentWorth[[#This Row],[Interest Rate]]) ^ PresentWorth[[#This Row],[Time]])</f>
        <v>-3724.6792798166875</v>
      </c>
      <c r="G7" s="2"/>
      <c r="H7" s="2"/>
      <c r="I7" s="2" t="s">
        <v>23</v>
      </c>
      <c r="J7" s="22">
        <f>SUM(F2:F9)</f>
        <v>-30121.97921592875</v>
      </c>
      <c r="K7" s="2"/>
      <c r="L7" s="2"/>
      <c r="M7" s="2"/>
      <c r="N7" s="2"/>
      <c r="O7" s="2"/>
    </row>
    <row r="8" spans="1:15" x14ac:dyDescent="0.3">
      <c r="A8" s="13">
        <v>6083</v>
      </c>
      <c r="B8" s="13">
        <v>-3837.98</v>
      </c>
      <c r="C8" s="24">
        <f t="shared" si="0"/>
        <v>2.3076923076923075E-3</v>
      </c>
      <c r="D8" s="25">
        <f>D2*7</f>
        <v>15.166666666666666</v>
      </c>
      <c r="E8" s="26">
        <f>PresentWorth[[#This Row],[Inflow Future Value]]/ (1 + PresentWorth[[#This Row],[Interest Rate]]) ^ PresentWorth[[#This Row],[Time]]</f>
        <v>5874.0145978167375</v>
      </c>
      <c r="F8" s="26">
        <f>PresentWorth[[#This Row],[Outflow Future Value]]/ ((1 + PresentWorth[[#This Row],[Interest Rate]]) ^ PresentWorth[[#This Row],[Time]])</f>
        <v>-3706.1237129917281</v>
      </c>
      <c r="G8" s="2"/>
      <c r="H8" s="2"/>
      <c r="I8" s="2" t="s">
        <v>24</v>
      </c>
      <c r="J8" s="23">
        <f>J6+J7</f>
        <v>21787.407587910606</v>
      </c>
      <c r="K8" s="2"/>
      <c r="L8" s="2"/>
      <c r="M8" s="2"/>
      <c r="N8" s="2"/>
      <c r="O8" s="2"/>
    </row>
    <row r="9" spans="1:15" x14ac:dyDescent="0.3">
      <c r="A9" s="21">
        <f>A8+4500</f>
        <v>10583</v>
      </c>
      <c r="B9" s="13">
        <v>-3837.98</v>
      </c>
      <c r="C9" s="24">
        <f t="shared" si="0"/>
        <v>2.3076923076923075E-3</v>
      </c>
      <c r="D9" s="28">
        <f>D2*8</f>
        <v>17.333333333333332</v>
      </c>
      <c r="E9" s="29">
        <f>PresentWorth[[#This Row],[Inflow Future Value]]/ (1 + PresentWorth[[#This Row],[Interest Rate]]) ^ PresentWorth[[#This Row],[Time]]</f>
        <v>10168.503218508697</v>
      </c>
      <c r="F9" s="29">
        <f>PresentWorth[[#This Row],[Outflow Future Value]]/ ((1 + PresentWorth[[#This Row],[Interest Rate]]) ^ PresentWorth[[#This Row],[Time]])</f>
        <v>-3687.6605860882555</v>
      </c>
      <c r="G9" s="2"/>
      <c r="H9" s="2"/>
      <c r="I9" s="2"/>
      <c r="J9" s="2"/>
      <c r="K9" s="2"/>
      <c r="L9" s="2"/>
      <c r="M9" s="2"/>
      <c r="N9" s="2"/>
      <c r="O9" s="2"/>
    </row>
    <row r="10" spans="1:15" x14ac:dyDescent="0.3">
      <c r="A10" s="13"/>
      <c r="B10" s="13"/>
      <c r="C10" s="24"/>
      <c r="D10" s="25"/>
      <c r="E10" s="26"/>
      <c r="F10" s="26"/>
      <c r="G10" s="2"/>
      <c r="H10" s="2"/>
      <c r="I10" s="2"/>
      <c r="J10" s="22"/>
      <c r="K10" s="2"/>
      <c r="L10" s="2"/>
      <c r="M10" s="2"/>
      <c r="N10" s="2"/>
      <c r="O10" s="2"/>
    </row>
    <row r="11" spans="1:15" x14ac:dyDescent="0.3">
      <c r="A11" s="14"/>
      <c r="B11" s="14"/>
      <c r="C11" s="27"/>
      <c r="D11" s="28"/>
      <c r="E11" s="29"/>
      <c r="F11" s="29"/>
      <c r="G11" s="2"/>
      <c r="H11" s="2"/>
      <c r="I11" s="2"/>
      <c r="J11" s="22"/>
      <c r="K11" s="2"/>
      <c r="L11" s="2"/>
      <c r="M11" s="2"/>
      <c r="N11" s="2"/>
      <c r="O11" s="2"/>
    </row>
    <row r="12" spans="1:15" x14ac:dyDescent="0.3">
      <c r="A12" s="13"/>
      <c r="B12" s="13"/>
      <c r="C12" s="24"/>
      <c r="D12" s="25"/>
      <c r="E12" s="26"/>
      <c r="F12" s="26"/>
      <c r="G12" s="2"/>
      <c r="H12" s="2"/>
      <c r="I12" s="2"/>
      <c r="J12" s="22"/>
      <c r="K12" s="2"/>
      <c r="L12" s="2"/>
      <c r="M12" s="2"/>
      <c r="N12" s="2"/>
      <c r="O12" s="2"/>
    </row>
    <row r="13" spans="1:15" x14ac:dyDescent="0.3">
      <c r="A13" s="14"/>
      <c r="B13" s="14"/>
      <c r="C13" s="27"/>
      <c r="D13" s="28"/>
      <c r="E13" s="29"/>
      <c r="F13" s="29"/>
      <c r="G13" s="2"/>
      <c r="H13" s="2"/>
      <c r="I13" s="2"/>
      <c r="J13" s="2"/>
      <c r="K13" s="2"/>
      <c r="L13" s="2"/>
      <c r="M13" s="2"/>
      <c r="N13" s="2"/>
      <c r="O13" s="2"/>
    </row>
    <row r="14" spans="1:15" x14ac:dyDescent="0.3">
      <c r="A14" s="13"/>
      <c r="B14" s="13"/>
      <c r="C14" s="24"/>
      <c r="D14" s="25"/>
      <c r="E14" s="26"/>
      <c r="F14" s="26"/>
      <c r="G14" s="2"/>
      <c r="H14" s="2"/>
      <c r="I14" s="2"/>
      <c r="J14" s="2"/>
      <c r="K14" s="2"/>
      <c r="L14" s="2"/>
      <c r="M14" s="2"/>
      <c r="N14" s="2"/>
      <c r="O14" s="2"/>
    </row>
    <row r="15" spans="1:15" x14ac:dyDescent="0.3">
      <c r="A15" s="14"/>
      <c r="B15" s="14"/>
      <c r="C15" s="27"/>
      <c r="D15" s="28"/>
      <c r="E15" s="29"/>
      <c r="F15" s="29"/>
      <c r="G15" s="2"/>
      <c r="H15" s="2"/>
      <c r="I15" s="2"/>
      <c r="J15" s="2"/>
      <c r="K15" s="2"/>
      <c r="L15" s="2"/>
      <c r="M15" s="2"/>
      <c r="N15" s="2"/>
      <c r="O15" s="2"/>
    </row>
    <row r="16" spans="1:15" x14ac:dyDescent="0.3">
      <c r="A16" s="13"/>
      <c r="B16" s="13"/>
      <c r="C16" s="24"/>
      <c r="D16" s="25"/>
      <c r="E16" s="26"/>
      <c r="F16" s="26"/>
      <c r="G16" s="2"/>
      <c r="H16" s="2"/>
      <c r="I16" s="2"/>
      <c r="J16" s="2"/>
      <c r="K16" s="2"/>
      <c r="L16" s="2"/>
      <c r="M16" s="2"/>
      <c r="N16" s="2"/>
      <c r="O16" s="2"/>
    </row>
    <row r="17" spans="1:15" x14ac:dyDescent="0.3">
      <c r="A17" s="15"/>
      <c r="B17" s="15"/>
      <c r="C17" s="32"/>
      <c r="D17" s="31"/>
      <c r="E17" s="30"/>
      <c r="F17" s="30"/>
      <c r="G17" s="2"/>
      <c r="H17" s="2"/>
      <c r="I17" s="2"/>
      <c r="J17" s="2"/>
      <c r="K17" s="2"/>
      <c r="L17" s="2"/>
      <c r="M17" s="2"/>
      <c r="N17" s="2"/>
      <c r="O17" s="2"/>
    </row>
    <row r="18" spans="1:15" x14ac:dyDescent="0.3">
      <c r="A18" s="13"/>
      <c r="B18" s="13"/>
      <c r="C18" s="13"/>
      <c r="D18" s="13"/>
      <c r="E18" s="13"/>
      <c r="F18" s="13"/>
    </row>
    <row r="19" spans="1:15" x14ac:dyDescent="0.3">
      <c r="A19" s="14"/>
      <c r="B19" s="14"/>
      <c r="C19" s="14"/>
      <c r="D19" s="14"/>
      <c r="E19" s="14"/>
      <c r="F19" s="14"/>
    </row>
    <row r="20" spans="1:15" x14ac:dyDescent="0.3">
      <c r="A20" s="13"/>
      <c r="B20" s="13"/>
      <c r="C20" s="13"/>
      <c r="D20" s="13"/>
      <c r="E20" s="13"/>
      <c r="F20" s="13"/>
    </row>
    <row r="21" spans="1:15" x14ac:dyDescent="0.3">
      <c r="A21" s="14"/>
      <c r="B21" s="14"/>
      <c r="C21" s="14"/>
      <c r="D21" s="14"/>
      <c r="E21" s="14"/>
      <c r="F21" s="14"/>
    </row>
    <row r="22" spans="1:15" x14ac:dyDescent="0.3">
      <c r="A22" s="13"/>
      <c r="B22" s="13"/>
      <c r="C22" s="13"/>
      <c r="D22" s="13"/>
      <c r="E22" s="13"/>
      <c r="F22" s="13"/>
    </row>
    <row r="23" spans="1:15" x14ac:dyDescent="0.3">
      <c r="A23" s="14"/>
      <c r="B23" s="14"/>
      <c r="C23" s="14"/>
      <c r="D23" s="14"/>
      <c r="E23" s="14"/>
      <c r="F23" s="14"/>
    </row>
    <row r="24" spans="1:15" x14ac:dyDescent="0.3">
      <c r="A24" s="13"/>
      <c r="B24" s="13"/>
      <c r="C24" s="13"/>
      <c r="D24" s="13"/>
      <c r="E24" s="13"/>
      <c r="F24" s="13"/>
    </row>
    <row r="25" spans="1:15" x14ac:dyDescent="0.3">
      <c r="A25" s="15"/>
      <c r="B25" s="15"/>
      <c r="C25" s="15"/>
      <c r="D25" s="15"/>
      <c r="E25" s="15"/>
      <c r="F25" s="15"/>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AC9C-3EB1-4771-95BD-77B3F138E970}">
  <dimension ref="A1:M17"/>
  <sheetViews>
    <sheetView workbookViewId="0">
      <selection activeCell="G19" sqref="G19"/>
    </sheetView>
  </sheetViews>
  <sheetFormatPr defaultColWidth="8.88671875" defaultRowHeight="13.8" x14ac:dyDescent="0.25"/>
  <cols>
    <col min="1" max="1" width="12" style="11" bestFit="1" customWidth="1"/>
    <col min="2" max="2" width="12.6640625" style="11" bestFit="1" customWidth="1"/>
    <col min="3" max="3" width="8" style="11" hidden="1" customWidth="1"/>
    <col min="4" max="4" width="7.33203125" style="11" bestFit="1" customWidth="1"/>
    <col min="5" max="12" width="5" style="11" bestFit="1" customWidth="1"/>
    <col min="13" max="13" width="5.6640625" style="11" bestFit="1" customWidth="1"/>
    <col min="14" max="16384" width="8.88671875" style="11"/>
  </cols>
  <sheetData>
    <row r="1" spans="1:13" x14ac:dyDescent="0.25">
      <c r="A1" s="11" t="s">
        <v>0</v>
      </c>
      <c r="B1" s="11" t="s">
        <v>1</v>
      </c>
      <c r="C1" s="11" t="s">
        <v>2</v>
      </c>
      <c r="D1" s="11" t="s">
        <v>12</v>
      </c>
    </row>
    <row r="2" spans="1:13" x14ac:dyDescent="0.25">
      <c r="C2" s="11">
        <v>1</v>
      </c>
      <c r="D2" s="11">
        <v>1</v>
      </c>
      <c r="E2" s="16"/>
      <c r="F2" s="16"/>
      <c r="G2" s="16"/>
      <c r="H2" s="16"/>
      <c r="I2" s="16"/>
      <c r="J2" s="16"/>
      <c r="K2" s="16"/>
      <c r="L2" s="16"/>
      <c r="M2" s="16"/>
    </row>
    <row r="3" spans="1:13" x14ac:dyDescent="0.25">
      <c r="C3" s="11">
        <v>2</v>
      </c>
      <c r="D3" s="11">
        <v>2</v>
      </c>
    </row>
    <row r="4" spans="1:13" x14ac:dyDescent="0.25">
      <c r="C4" s="11">
        <v>3</v>
      </c>
      <c r="D4" s="11">
        <v>3</v>
      </c>
      <c r="E4" s="17"/>
      <c r="F4" s="17"/>
      <c r="G4" s="17"/>
      <c r="H4" s="17"/>
      <c r="I4" s="17"/>
      <c r="J4" s="17"/>
      <c r="K4" s="17"/>
      <c r="L4" s="17"/>
      <c r="M4" s="17"/>
    </row>
    <row r="5" spans="1:13" x14ac:dyDescent="0.25">
      <c r="C5" s="11">
        <v>4</v>
      </c>
      <c r="D5" s="11">
        <v>4</v>
      </c>
    </row>
    <row r="6" spans="1:13" x14ac:dyDescent="0.25">
      <c r="C6" s="11">
        <v>5</v>
      </c>
      <c r="D6" s="11">
        <v>5</v>
      </c>
    </row>
    <row r="7" spans="1:13" x14ac:dyDescent="0.25">
      <c r="C7" s="11">
        <v>6</v>
      </c>
      <c r="D7" s="11">
        <v>6</v>
      </c>
    </row>
    <row r="8" spans="1:13" x14ac:dyDescent="0.25">
      <c r="C8" s="11">
        <v>7</v>
      </c>
      <c r="D8" s="11">
        <v>7</v>
      </c>
    </row>
    <row r="9" spans="1:13" x14ac:dyDescent="0.25">
      <c r="C9" s="11">
        <v>8</v>
      </c>
      <c r="D9" s="11">
        <v>8</v>
      </c>
    </row>
    <row r="10" spans="1:13" x14ac:dyDescent="0.25">
      <c r="C10" s="11">
        <v>9</v>
      </c>
      <c r="D10" s="11">
        <v>9</v>
      </c>
    </row>
    <row r="11" spans="1:13" x14ac:dyDescent="0.25">
      <c r="C11" s="11">
        <v>10</v>
      </c>
      <c r="D11" s="11">
        <v>10</v>
      </c>
    </row>
    <row r="12" spans="1:13" x14ac:dyDescent="0.25">
      <c r="C12" s="11">
        <v>11</v>
      </c>
      <c r="D12" s="11">
        <v>11</v>
      </c>
    </row>
    <row r="13" spans="1:13" x14ac:dyDescent="0.25">
      <c r="C13" s="11">
        <v>12</v>
      </c>
      <c r="D13" s="11">
        <v>12</v>
      </c>
    </row>
    <row r="14" spans="1:13" x14ac:dyDescent="0.25">
      <c r="C14" s="11">
        <v>13</v>
      </c>
      <c r="D14" s="11">
        <v>13</v>
      </c>
    </row>
    <row r="15" spans="1:13" x14ac:dyDescent="0.25">
      <c r="C15" s="11">
        <v>14</v>
      </c>
      <c r="D15" s="11">
        <v>14</v>
      </c>
    </row>
    <row r="16" spans="1:13" x14ac:dyDescent="0.25">
      <c r="C16" s="11">
        <v>15</v>
      </c>
      <c r="D16" s="11">
        <v>15</v>
      </c>
    </row>
    <row r="17" spans="4:4" x14ac:dyDescent="0.25">
      <c r="D17" s="11">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5E8CDF-DBC3-4BAA-B111-4527677C0BE0}">
  <ds:schemaRefs>
    <ds:schemaRef ds:uri="http://schemas.microsoft.com/sharepoint/v3/contenttype/forms"/>
  </ds:schemaRefs>
</ds:datastoreItem>
</file>

<file path=customXml/itemProps2.xml><?xml version="1.0" encoding="utf-8"?>
<ds:datastoreItem xmlns:ds="http://schemas.openxmlformats.org/officeDocument/2006/customXml" ds:itemID="{30EC47EC-A1EB-4F3D-B05F-B3D5515BF978}">
  <ds:schemaRefs>
    <ds:schemaRef ds:uri="http://schemas.openxmlformats.org/package/2006/metadata/core-properties"/>
    <ds:schemaRef ds:uri="http://www.w3.org/XML/1998/namespace"/>
    <ds:schemaRef ds:uri="http://purl.org/dc/elements/1.1/"/>
    <ds:schemaRef ds:uri="http://schemas.microsoft.com/office/2006/documentManagement/types"/>
    <ds:schemaRef ds:uri="006c7cb9-3c36-40e5-a5d9-86e0029a058a"/>
    <ds:schemaRef ds:uri="http://schemas.microsoft.com/office/2006/metadata/properties"/>
    <ds:schemaRef ds:uri="http://schemas.microsoft.com/office/infopath/2007/PartnerControls"/>
    <ds:schemaRef ds:uri="a5db53bf-fe91-4cb9-a657-3e0c4c7ee7a0"/>
    <ds:schemaRef ds:uri="http://purl.org/dc/dcmitype/"/>
    <ds:schemaRef ds:uri="http://purl.org/dc/terms/"/>
  </ds:schemaRefs>
</ds:datastoreItem>
</file>

<file path=customXml/itemProps3.xml><?xml version="1.0" encoding="utf-8"?>
<ds:datastoreItem xmlns:ds="http://schemas.openxmlformats.org/officeDocument/2006/customXml" ds:itemID="{D25BE59E-C15F-4B02-AE9F-3378D8C859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Cash Flows</vt:lpstr>
      <vt:lpstr>Detail1</vt:lpstr>
      <vt:lpstr>Detail2</vt:lpstr>
      <vt:lpstr>Detail3</vt:lpstr>
      <vt:lpstr>Detail4</vt:lpstr>
      <vt:lpstr>Cash Flow Diagram</vt:lpstr>
      <vt:lpstr>PW </vt:lpstr>
      <vt:lpstr>Extra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Felicity Rugard</dc:creator>
  <cp:keywords/>
  <dc:description/>
  <cp:lastModifiedBy>Tridib Banik</cp:lastModifiedBy>
  <cp:revision/>
  <dcterms:created xsi:type="dcterms:W3CDTF">2024-05-23T19:58:43Z</dcterms:created>
  <dcterms:modified xsi:type="dcterms:W3CDTF">2026-02-03T04:08:53Z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y fmtid="{D5CDD505-2E9C-101B-9397-08002B2CF9AE}" pid="4" name="Order">
    <vt:r8>102000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