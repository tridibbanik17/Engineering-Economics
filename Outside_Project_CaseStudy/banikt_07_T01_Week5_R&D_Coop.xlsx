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5BC9A287-62E3-4529-8F68-07AB8BAD59CF}" xr6:coauthVersionLast="47" xr6:coauthVersionMax="47" xr10:uidLastSave="{00000000-0000-0000-0000-000000000000}"/>
  <bookViews>
    <workbookView xWindow="-108" yWindow="-108" windowWidth="23256" windowHeight="12456" activeTab="5" xr2:uid="{9B789AAF-6030-40EA-B24B-6CC9C3D80892}"/>
  </bookViews>
  <sheets>
    <sheet name="Cash Flows" sheetId="1" r:id="rId1"/>
    <sheet name="Detail1" sheetId="9" state="hidden" r:id="rId2"/>
    <sheet name="Detail2" sheetId="10" state="hidden" r:id="rId3"/>
    <sheet name="Detail3" sheetId="11" state="hidden" r:id="rId4"/>
    <sheet name="Detail4" sheetId="12" state="hidden" r:id="rId5"/>
    <sheet name="Cash Flow Diagram" sheetId="3" r:id="rId6"/>
    <sheet name="PW " sheetId="7" r:id="rId7"/>
    <sheet name="Extra Sheet" sheetId="6" r:id="rId8"/>
  </sheets>
  <calcPr calcId="191028"/>
  <pivotCaches>
    <pivotCache cacheId="47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7" l="1"/>
  <c r="C9" i="7"/>
  <c r="C8" i="7"/>
  <c r="C7" i="7"/>
  <c r="C6" i="7"/>
  <c r="C5" i="7"/>
  <c r="C4" i="7"/>
  <c r="C3" i="7"/>
  <c r="C2" i="7"/>
  <c r="F9" i="7"/>
  <c r="F8" i="7"/>
  <c r="F7" i="7"/>
  <c r="F6" i="7"/>
  <c r="F5" i="7"/>
  <c r="F4" i="7"/>
  <c r="F3" i="7"/>
  <c r="F2" i="7"/>
  <c r="E9" i="7"/>
  <c r="E8" i="7"/>
  <c r="E7" i="7"/>
  <c r="E6" i="7"/>
  <c r="E5" i="7"/>
  <c r="E4" i="7"/>
  <c r="E3" i="7"/>
  <c r="E2" i="7"/>
  <c r="D9" i="7"/>
  <c r="D8" i="7"/>
  <c r="D7" i="7"/>
  <c r="D6" i="7"/>
  <c r="D5" i="7"/>
  <c r="D4" i="7"/>
  <c r="D3" i="7"/>
  <c r="D2" i="7"/>
  <c r="A9" i="1"/>
  <c r="J7" i="7" l="1"/>
  <c r="J6" i="7"/>
</calcChain>
</file>

<file path=xl/sharedStrings.xml><?xml version="1.0" encoding="utf-8"?>
<sst xmlns="http://schemas.openxmlformats.org/spreadsheetml/2006/main" count="60" uniqueCount="30">
  <si>
    <t>Income</t>
  </si>
  <si>
    <t>Expenses</t>
  </si>
  <si>
    <t>Order</t>
  </si>
  <si>
    <t>Personal Considerations</t>
  </si>
  <si>
    <t>Time Period</t>
  </si>
  <si>
    <t>Row Labels</t>
  </si>
  <si>
    <t>Sum of Income</t>
  </si>
  <si>
    <t>Sum of Expenses</t>
  </si>
  <si>
    <t>Grand Total</t>
  </si>
  <si>
    <t>Inflow Future Value</t>
  </si>
  <si>
    <t>Outflow Future Value</t>
  </si>
  <si>
    <t>Interest Rate</t>
  </si>
  <si>
    <t>Time</t>
  </si>
  <si>
    <t>Inflow PW</t>
  </si>
  <si>
    <t>Outflow PW</t>
  </si>
  <si>
    <t>In-person R&amp;D role, OT assumed at maximum, consistent monthly costs</t>
  </si>
  <si>
    <t>Same as above</t>
  </si>
  <si>
    <t>+ $6,000 long-term aerospace skill &amp; career benefit</t>
  </si>
  <si>
    <t>Details for Sum of Income - Time Period: 1</t>
  </si>
  <si>
    <t>Details for Sum of Expenses - Time Period: 1</t>
  </si>
  <si>
    <t>Details for Sum of Income - Time Period: 16</t>
  </si>
  <si>
    <t xml:space="preserve">Total Inflow PW from Established Space Agency (R&amp;D Co-op): </t>
  </si>
  <si>
    <t xml:space="preserve">Total Outflow PW from Established Space Agency (R&amp;D Co-op): </t>
  </si>
  <si>
    <t xml:space="preserve">Total PW from Established Space Agency (R&amp;D Co-op): </t>
  </si>
  <si>
    <t>Note: Timescale is monthly (Total 8 months, one row for each month)</t>
  </si>
  <si>
    <t>(blank)</t>
  </si>
  <si>
    <t>Note: The calculations for total income and expenses per month can be found in the word doc titled "banikt_07_T01_Week5"</t>
  </si>
  <si>
    <t>References</t>
  </si>
  <si>
    <t>[1] “Salary expert - R&amp;D engineer salary Toronto, Ontario, Canada,” Salary Expert, https://www.salaryexpert.com/salary/job/randd-engineer/canada/ontario/toronto (accessed Feb. 3, 2026).</t>
  </si>
  <si>
    <t>Justification (250 words):
The final choice among the three co-op sequences is the R&amp;D Engineering Co-op, as it provides the highest Present Worth (PW) and the strongest long-term career benefits. Based on the PW calculations and cash flow diagrams, the R&amp;D Co-op has a total inflow of $39,578.81 and a total outflow of $15,908.41, resulting in a PW of $23,670.39, higher than the other options.
A key contributor is the $6,000 long-term aerospace skill and career benefit. This was estimated by comparing the R&amp;D Co-op to my baseline academic experience, where exposure to aerospace systems is primarily theoretical. The co-op provides hands-on, highly specialized R&amp;D experience. Based on SalaryExpert data for entry-level R&amp;D Engineers in Toronto, Ontario, entry-level salaries are approximately $96,510/year [1]. Compared to a baseline of $90,000/year without co-op experience, this implies an early-career premium of $1,500/year. Assuming this premium applies for the first four years after graduation, the total benefit is $6,000 ($1,500/year * 4 years).
Although the R&amp;D Co-op involves higher transit costs and potential unpaid overtime, these are outweighed by technical skill development, stronger industry exposure, and higher likelihood of securing a high-paying role or return offer after graduation.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</si>
</sst>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000"/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3">
    <border>
      <left/>
      <right/>
      <top/>
      <bottom/>
      <diagonal/>
    </border>
    <border>
      <left style="thin">
        <color rgb="FF44B3E1"/>
      </left>
      <right style="thin">
        <color rgb="FF000000"/>
      </right>
      <top style="thin">
        <color rgb="FF44B3E1"/>
      </top>
      <bottom style="thin">
        <color rgb="FF44B3E1"/>
      </bottom>
      <diagonal/>
    </border>
    <border>
      <left/>
      <right style="thin">
        <color rgb="FF000000"/>
      </right>
      <top style="thin">
        <color rgb="FF44B3E1"/>
      </top>
      <bottom style="thin">
        <color rgb="FF44B3E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44B3E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0" xfId="0" applyFont="1" applyFill="1"/>
    <xf numFmtId="0" fontId="5" fillId="0" borderId="0" xfId="0" applyFont="1" applyProtection="1">
      <protection locked="0"/>
    </xf>
    <xf numFmtId="49" fontId="5" fillId="0" borderId="0" xfId="0" applyNumberFormat="1" applyFont="1"/>
    <xf numFmtId="0" fontId="5" fillId="0" borderId="0" xfId="0" applyFont="1" applyAlignment="1" applyProtection="1">
      <alignment horizontal="left"/>
      <protection locked="0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3" borderId="2" xfId="0" applyFont="1" applyFill="1" applyBorder="1"/>
    <xf numFmtId="0" fontId="6" fillId="0" borderId="2" xfId="0" applyFont="1" applyBorder="1"/>
    <xf numFmtId="0" fontId="6" fillId="0" borderId="4" xfId="0" applyFont="1" applyBorder="1"/>
    <xf numFmtId="0" fontId="8" fillId="0" borderId="0" xfId="0" applyFont="1" applyAlignment="1">
      <alignment vertical="top"/>
    </xf>
    <xf numFmtId="0" fontId="8" fillId="0" borderId="0" xfId="0" applyFont="1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44" fontId="0" fillId="0" borderId="0" xfId="1" applyFont="1"/>
    <xf numFmtId="0" fontId="10" fillId="0" borderId="0" xfId="0" applyFont="1"/>
    <xf numFmtId="0" fontId="8" fillId="0" borderId="0" xfId="0" applyFont="1" applyProtection="1">
      <protection locked="0"/>
    </xf>
    <xf numFmtId="4" fontId="6" fillId="0" borderId="2" xfId="0" applyNumberFormat="1" applyFont="1" applyBorder="1"/>
    <xf numFmtId="44" fontId="3" fillId="0" borderId="0" xfId="1" applyFont="1"/>
    <xf numFmtId="44" fontId="3" fillId="0" borderId="0" xfId="0" applyNumberFormat="1" applyFont="1"/>
    <xf numFmtId="164" fontId="6" fillId="3" borderId="2" xfId="0" applyNumberFormat="1" applyFont="1" applyFill="1" applyBorder="1"/>
    <xf numFmtId="165" fontId="6" fillId="3" borderId="2" xfId="0" applyNumberFormat="1" applyFont="1" applyFill="1" applyBorder="1"/>
    <xf numFmtId="2" fontId="6" fillId="3" borderId="2" xfId="0" applyNumberFormat="1" applyFont="1" applyFill="1" applyBorder="1"/>
    <xf numFmtId="164" fontId="6" fillId="0" borderId="2" xfId="0" applyNumberFormat="1" applyFont="1" applyBorder="1"/>
    <xf numFmtId="165" fontId="6" fillId="0" borderId="2" xfId="0" applyNumberFormat="1" applyFont="1" applyBorder="1"/>
    <xf numFmtId="2" fontId="6" fillId="0" borderId="2" xfId="0" applyNumberFormat="1" applyFont="1" applyBorder="1"/>
    <xf numFmtId="2" fontId="6" fillId="0" borderId="4" xfId="0" applyNumberFormat="1" applyFont="1" applyBorder="1"/>
    <xf numFmtId="165" fontId="6" fillId="0" borderId="4" xfId="0" applyNumberFormat="1" applyFont="1" applyBorder="1"/>
    <xf numFmtId="164" fontId="6" fillId="0" borderId="4" xfId="0" applyNumberFormat="1" applyFont="1" applyBorder="1"/>
    <xf numFmtId="0" fontId="7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0" xfId="0" applyNumberFormat="1" applyFont="1"/>
    <xf numFmtId="0" fontId="0" fillId="0" borderId="0" xfId="0" applyAlignment="1">
      <alignment horizontal="left" vertical="center" indent="5"/>
    </xf>
  </cellXfs>
  <cellStyles count="2">
    <cellStyle name="Currency" xfId="1" builtinId="4"/>
    <cellStyle name="Normal" xfId="0" builtinId="0"/>
  </cellStyles>
  <dxfs count="34"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minor"/>
      </font>
      <border diagonalUp="0" diagonalDown="0">
        <left/>
        <right style="thin">
          <color rgb="FF00000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minor"/>
      </font>
      <border diagonalUp="0" diagonalDown="0">
        <left/>
        <right style="thin">
          <color rgb="FF00000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minor"/>
      </font>
      <border diagonalUp="0" diagonalDown="0">
        <left/>
        <right style="thin">
          <color rgb="FF00000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minor"/>
      </font>
      <border diagonalUp="0" diagonalDown="0">
        <left/>
        <right style="thin">
          <color rgb="FF00000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minor"/>
      </font>
      <border diagonalUp="0" diagonalDown="0">
        <left/>
        <right style="thin">
          <color rgb="FF000000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minor"/>
      </font>
      <border diagonalUp="0" diagonalDown="0">
        <left/>
        <right style="thin">
          <color rgb="FF000000"/>
        </right>
        <top style="thin">
          <color rgb="FF44B3E1"/>
        </top>
        <bottom style="thin">
          <color rgb="FF44B3E1"/>
        </bottom>
        <vertical/>
        <horizontal/>
      </border>
    </dxf>
    <dxf>
      <border outline="0"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  <alignment horizontal="left" vertical="bottom" textRotation="0" wrapText="0" indent="0" justifyLastLine="0" shrinkToFit="0" readingOrder="0"/>
      <protection locked="0" hidden="0"/>
    </dxf>
    <dxf>
      <font>
        <name val="Arial Narrow"/>
      </font>
      <alignment horizontal="left" vertical="bottom" textRotation="0" wrapText="0" indent="0" justifyLastLine="0" shrinkToFit="0" readingOrder="0"/>
    </dxf>
    <dxf>
      <font>
        <name val="Arial Narrow"/>
      </font>
      <numFmt numFmtId="30" formatCode="@"/>
      <alignment horizontal="left" vertical="bottom" textRotation="0" wrapText="0" indent="0" justifyLastLine="0" shrinkToFit="0" readingOrder="0"/>
      <protection locked="0" hidden="0"/>
    </dxf>
    <dxf>
      <font>
        <name val="Arial Narrow"/>
      </font>
      <protection locked="0" hidden="0"/>
    </dxf>
    <dxf>
      <font>
        <name val="Arial Narrow"/>
      </font>
      <protection locked="0" hidden="0"/>
    </dxf>
    <dxf>
      <font>
        <name val="Arial Narrow"/>
      </font>
    </dxf>
    <dxf>
      <font>
        <name val="Arial Narrow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[banikt_07_T01_Week5_R&amp;D_Coop.xlsx]Cash Flow Diagram!CashFlowPivot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Cash</a:t>
            </a:r>
            <a:r>
              <a:rPr lang="en-US" baseline="0"/>
              <a:t> Flow Diagram Template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title>
    <c:autoTitleDeleted val="0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1.4019609791206995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3.7385626109885772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1.8692813054942886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3.6245462982611264E-7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3.6245462982611264E-7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434249210792546E-2"/>
          <c:y val="4.61037660003982E-2"/>
          <c:w val="0.93914246196403872"/>
          <c:h val="0.898600844073574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'Cash Flow Diagram'!$B$1</c:f>
              <c:strCache>
                <c:ptCount val="1"/>
                <c:pt idx="0">
                  <c:v>Sum of Income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 Diagram'!$A$2:$A$11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(blank)</c:v>
                </c:pt>
              </c:strCache>
            </c:strRef>
          </c:cat>
          <c:val>
            <c:numRef>
              <c:f>'Cash Flow Diagram'!$B$2:$B$11</c:f>
              <c:numCache>
                <c:formatCode>General</c:formatCode>
                <c:ptCount val="9"/>
                <c:pt idx="0">
                  <c:v>4301.55</c:v>
                </c:pt>
                <c:pt idx="1">
                  <c:v>4301.55</c:v>
                </c:pt>
                <c:pt idx="2">
                  <c:v>4301.55</c:v>
                </c:pt>
                <c:pt idx="3">
                  <c:v>4301.55</c:v>
                </c:pt>
                <c:pt idx="4">
                  <c:v>4301.55</c:v>
                </c:pt>
                <c:pt idx="5">
                  <c:v>4301.55</c:v>
                </c:pt>
                <c:pt idx="6">
                  <c:v>4301.55</c:v>
                </c:pt>
                <c:pt idx="7">
                  <c:v>10301.549999999999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C-4C17-BE09-17573C516953}"/>
            </c:ext>
          </c:extLst>
        </c:ser>
        <c:ser>
          <c:idx val="1"/>
          <c:order val="1"/>
          <c:tx>
            <c:strRef>
              <c:f>'Cash Flow Diagram'!$C$1</c:f>
              <c:strCache>
                <c:ptCount val="1"/>
                <c:pt idx="0">
                  <c:v>Sum of Expenses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0041-425D-A8B3-1D953ECC64C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65C-4C17-BE09-17573C51695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65C-4C17-BE09-17573C51695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65C-4C17-BE09-17573C516953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'Cash Flow Diagram'!$A$2:$A$11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(blank)</c:v>
                </c:pt>
              </c:strCache>
            </c:strRef>
          </c:cat>
          <c:val>
            <c:numRef>
              <c:f>'Cash Flow Diagram'!$C$2:$C$11</c:f>
              <c:numCache>
                <c:formatCode>General</c:formatCode>
                <c:ptCount val="9"/>
                <c:pt idx="0">
                  <c:v>-2026.06</c:v>
                </c:pt>
                <c:pt idx="1">
                  <c:v>-2026.06</c:v>
                </c:pt>
                <c:pt idx="2">
                  <c:v>-2026.06</c:v>
                </c:pt>
                <c:pt idx="3">
                  <c:v>-2026.06</c:v>
                </c:pt>
                <c:pt idx="4">
                  <c:v>-2026.06</c:v>
                </c:pt>
                <c:pt idx="5">
                  <c:v>-2026.06</c:v>
                </c:pt>
                <c:pt idx="6">
                  <c:v>-2026.06</c:v>
                </c:pt>
                <c:pt idx="7">
                  <c:v>-2026.06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C-4C17-BE09-17573C5169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3"/>
        <c:overlap val="100"/>
        <c:axId val="329648607"/>
        <c:axId val="329646207"/>
      </c:barChart>
      <c:catAx>
        <c:axId val="3296486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shade val="1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46207"/>
        <c:crosses val="autoZero"/>
        <c:auto val="1"/>
        <c:lblAlgn val="ctr"/>
        <c:lblOffset val="1"/>
        <c:noMultiLvlLbl val="0"/>
      </c:catAx>
      <c:valAx>
        <c:axId val="3296462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2964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514977</xdr:colOff>
      <xdr:row>0</xdr:row>
      <xdr:rowOff>0</xdr:rowOff>
    </xdr:from>
    <xdr:to>
      <xdr:col>15</xdr:col>
      <xdr:colOff>480060</xdr:colOff>
      <xdr:row>20</xdr:row>
      <xdr:rowOff>45720</xdr:rowOff>
    </xdr:to>
    <xdr:graphicFrame macro="">
      <xdr:nvGraphicFramePr>
        <xdr:cNvPr id="2" name="CashFlowDiagram">
          <a:extLst>
            <a:ext uri="{FF2B5EF4-FFF2-40B4-BE49-F238E27FC236}">
              <a16:creationId xmlns:a16="http://schemas.microsoft.com/office/drawing/2014/main" id="{3322DE95-719E-98CA-28EB-D451ABDBC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WNER" refreshedDate="46055.955260879629" createdVersion="8" refreshedVersion="8" minRefreshableVersion="3" recordCount="16" xr:uid="{52E38DEE-8143-4817-97FC-60B3BCC0E1E4}">
  <cacheSource type="worksheet">
    <worksheetSource name="CashFlowsInput"/>
  </cacheSource>
  <cacheFields count="5">
    <cacheField name="Income" numFmtId="0">
      <sharedItems containsString="0" containsBlank="1" containsNumber="1" minValue="4301.55" maxValue="10301.549999999999"/>
    </cacheField>
    <cacheField name="Expenses" numFmtId="0">
      <sharedItems containsString="0" containsBlank="1" containsNumber="1" minValue="-2026.06" maxValue="-2026.06"/>
    </cacheField>
    <cacheField name="Order" numFmtId="0">
      <sharedItems containsString="0" containsBlank="1" containsNumber="1" containsInteger="1" minValue="1" maxValue="8"/>
    </cacheField>
    <cacheField name="Personal Considerations" numFmtId="0">
      <sharedItems containsBlank="1"/>
    </cacheField>
    <cacheField name="Time Period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n v="8"/>
        <m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4301.55"/>
    <n v="-2026.06"/>
    <n v="1"/>
    <s v="In-person R&amp;D role, OT assumed at maximum, consistent monthly costs"/>
    <x v="0"/>
  </r>
  <r>
    <n v="4301.55"/>
    <n v="-2026.06"/>
    <n v="2"/>
    <s v="Same as above"/>
    <x v="1"/>
  </r>
  <r>
    <n v="4301.55"/>
    <n v="-2026.06"/>
    <n v="3"/>
    <s v="Same as above"/>
    <x v="2"/>
  </r>
  <r>
    <n v="4301.55"/>
    <n v="-2026.06"/>
    <n v="4"/>
    <s v="Same as above"/>
    <x v="3"/>
  </r>
  <r>
    <n v="4301.55"/>
    <n v="-2026.06"/>
    <n v="5"/>
    <s v="Same as above"/>
    <x v="4"/>
  </r>
  <r>
    <n v="4301.55"/>
    <n v="-2026.06"/>
    <n v="6"/>
    <s v="Same as above"/>
    <x v="5"/>
  </r>
  <r>
    <n v="4301.55"/>
    <n v="-2026.06"/>
    <n v="7"/>
    <s v="Same as above"/>
    <x v="6"/>
  </r>
  <r>
    <n v="10301.549999999999"/>
    <n v="-2026.06"/>
    <n v="8"/>
    <s v="+ $6,000 long-term aerospace skill &amp; career benefit"/>
    <x v="7"/>
  </r>
  <r>
    <m/>
    <m/>
    <m/>
    <m/>
    <x v="8"/>
  </r>
  <r>
    <m/>
    <m/>
    <m/>
    <m/>
    <x v="8"/>
  </r>
  <r>
    <m/>
    <m/>
    <m/>
    <m/>
    <x v="8"/>
  </r>
  <r>
    <m/>
    <m/>
    <m/>
    <m/>
    <x v="8"/>
  </r>
  <r>
    <m/>
    <m/>
    <m/>
    <m/>
    <x v="8"/>
  </r>
  <r>
    <m/>
    <m/>
    <m/>
    <m/>
    <x v="8"/>
  </r>
  <r>
    <m/>
    <m/>
    <m/>
    <m/>
    <x v="8"/>
  </r>
  <r>
    <m/>
    <m/>
    <m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87921-26C7-41D3-A689-DA782E43CD16}" name="CashFlowPivot" cacheId="47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 chartFormat="13">
  <location ref="A1:C11" firstHeaderRow="0" firstDataRow="1" firstDataCol="1"/>
  <pivotFields count="5">
    <pivotField dataField="1" showAll="0"/>
    <pivotField dataField="1" showAll="0"/>
    <pivotField showAll="0"/>
    <pivotField showAll="0"/>
    <pivotField axis="axisRow" showAll="0" sortType="ascending">
      <items count="26">
        <item x="0"/>
        <item x="1"/>
        <item x="2"/>
        <item x="3"/>
        <item x="4"/>
        <item x="5"/>
        <item x="6"/>
        <item x="7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8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come" fld="0" baseField="0" baseItem="0"/>
    <dataField name="Sum of Expenses" fld="1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D76D3-E64A-414E-844C-4F54ED693645}" name="CashFlowsInput" displayName="CashFlowsInput" ref="A1:E17" totalsRowShown="0" headerRowDxfId="33" dataDxfId="32">
  <autoFilter ref="A1:E17" xr:uid="{5CCD76D3-E64A-414E-844C-4F54ED693645}"/>
  <sortState xmlns:xlrd2="http://schemas.microsoft.com/office/spreadsheetml/2017/richdata2" ref="A2:E17">
    <sortCondition ref="C1:C17"/>
  </sortState>
  <tableColumns count="5">
    <tableColumn id="1" xr3:uid="{455A84AB-00D3-409F-9EFF-952A8F37F8AB}" name="Income" dataDxfId="31" dataCellStyle="Currency"/>
    <tableColumn id="2" xr3:uid="{17558EE1-C441-4BC1-90D6-854DB507BCA9}" name="Expenses" dataDxfId="30" dataCellStyle="Currency"/>
    <tableColumn id="3" xr3:uid="{9258450A-10C8-494B-8731-ECDE83112060}" name="Order" dataDxfId="29"/>
    <tableColumn id="6" xr3:uid="{42794C45-6BB4-CA4A-9F50-43A38B09FC16}" name="Personal Considerations" dataDxfId="28"/>
    <tableColumn id="4" xr3:uid="{3D20B346-AE99-42BF-AF4A-2E78EDCD8F0A}" name="Time Period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3C2C9B-1527-4AA4-848B-9751E9948743}" name="Table5" displayName="Table5" ref="A3:E4" totalsRowShown="0">
  <autoFilter ref="A3:E4" xr:uid="{5C3C2C9B-1527-4AA4-848B-9751E9948743}"/>
  <tableColumns count="5">
    <tableColumn id="1" xr3:uid="{5F06856F-B3E1-420F-8818-FF0E0CB6D4C1}" name="Income" dataCellStyle="Currency"/>
    <tableColumn id="2" xr3:uid="{627C1500-A2E5-4EAC-912F-2F075FEFA8E4}" name="Expenses"/>
    <tableColumn id="3" xr3:uid="{A9D24073-0D6B-472A-B9FF-EBA39B655899}" name="Order"/>
    <tableColumn id="4" xr3:uid="{5A3F80B6-0413-43A8-BC8D-D406091A44BA}" name="Personal Considerations"/>
    <tableColumn id="5" xr3:uid="{F0772231-84B8-408F-8D7A-8AC715F0D3EA}" name="Time Peri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56E00F-5700-4D09-AB9B-5D10F23A6341}" name="Table6" displayName="Table6" ref="A3:E4" totalsRowShown="0">
  <autoFilter ref="A3:E4" xr:uid="{A156E00F-5700-4D09-AB9B-5D10F23A6341}"/>
  <tableColumns count="5">
    <tableColumn id="1" xr3:uid="{56A40B06-E02F-477E-95C5-909527EE3CF1}" name="Income"/>
    <tableColumn id="2" xr3:uid="{0E65061F-850A-4D8B-AAEE-ED200DC2078B}" name="Expenses"/>
    <tableColumn id="3" xr3:uid="{CB4600AA-DC39-480A-B9E3-37FB0AAB4477}" name="Order"/>
    <tableColumn id="4" xr3:uid="{097AABF9-C9D9-4365-9277-D6C83E199396}" name="Personal Considerations"/>
    <tableColumn id="5" xr3:uid="{DC716C92-BB3E-4A0A-9F18-C57461951ED8}" name="Time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58E192-50EC-48EE-A75D-204C78A94A9C}" name="Table7" displayName="Table7" ref="A3:E4" totalsRowShown="0">
  <autoFilter ref="A3:E4" xr:uid="{FF58E192-50EC-48EE-A75D-204C78A94A9C}"/>
  <tableColumns count="5">
    <tableColumn id="1" xr3:uid="{9A72ED7D-85BB-43FC-A800-498C1F927835}" name="Income"/>
    <tableColumn id="2" xr3:uid="{CDCEE517-FF18-4D36-8FAE-0BE9756A71A4}" name="Expenses"/>
    <tableColumn id="3" xr3:uid="{F3371E00-AFBD-4D7E-A021-35256EB43D23}" name="Order"/>
    <tableColumn id="4" xr3:uid="{5AD3D590-9D41-424F-9FD2-CE9376053A56}" name="Personal Considerations"/>
    <tableColumn id="5" xr3:uid="{8024B778-CB5C-4FC2-B96D-295E68B151A8}" name="Time Peri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7CA95B-CA5D-4D8B-9FF6-67B904163A94}" name="Table8" displayName="Table8" ref="A3:E4" totalsRowShown="0">
  <autoFilter ref="A3:E4" xr:uid="{747CA95B-CA5D-4D8B-9FF6-67B904163A94}"/>
  <tableColumns count="5">
    <tableColumn id="1" xr3:uid="{7AB0E7B6-F030-499C-A8E0-385B6DE2ECB6}" name="Income"/>
    <tableColumn id="2" xr3:uid="{0BF48A80-1D97-462A-A612-ED7C5432AA38}" name="Expenses"/>
    <tableColumn id="3" xr3:uid="{1ADF4B11-0AC7-4B0C-915E-B2C6FF873EBD}" name="Order"/>
    <tableColumn id="4" xr3:uid="{E4DAF8A6-1BBC-4376-92ED-85DCCFE3CEB4}" name="Personal Considerations"/>
    <tableColumn id="5" xr3:uid="{DC12D98F-661B-4697-9B78-AA94AB07B442}" name="Time Peri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C3C23E-664E-4D28-9666-8416FF8DEE13}" name="PresentWorth" displayName="PresentWorth" ref="A1:F25" totalsRowShown="0" headerRowDxfId="20" dataDxfId="19" tableBorderDxfId="18">
  <autoFilter ref="A1:F25" xr:uid="{71C3C23E-664E-4D28-9666-8416FF8DEE13}"/>
  <tableColumns count="6">
    <tableColumn id="1" xr3:uid="{5DFCEA7D-5A12-4762-A615-7A4489B67D60}" name="Inflow Future Value" dataDxfId="17"/>
    <tableColumn id="2" xr3:uid="{5D0AEE3E-8EBB-481E-B830-A1F45EAAC81D}" name="Outflow Future Value" dataDxfId="16"/>
    <tableColumn id="3" xr3:uid="{74F9AD2C-B28F-4C44-B678-9F4D9350388B}" name="Interest Rate" dataDxfId="15"/>
    <tableColumn id="4" xr3:uid="{6777F58F-C069-42F7-8002-C6A6C776F7A9}" name="Time" dataDxfId="14"/>
    <tableColumn id="5" xr3:uid="{0E3EBB65-1133-4589-8A95-1D58CCFE3696}" name="Inflow PW" dataDxfId="13"/>
    <tableColumn id="6" xr3:uid="{31781CFC-4AF1-4A40-9066-D58329BE5246}" name="Outflow PW" dataDxfId="1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AC90F-96EF-46F2-82BD-284626AAEC86}" name="ExtraTable" displayName="ExtraTable" ref="A1:D25" totalsRowShown="0" headerRowDxfId="11" dataDxfId="10">
  <autoFilter ref="A1:D25" xr:uid="{D6FAC90F-96EF-46F2-82BD-284626AAEC86}"/>
  <tableColumns count="4">
    <tableColumn id="1" xr3:uid="{8C554CD9-1AE9-4AE6-9392-F085F4C4C720}" name="Income" dataDxfId="9"/>
    <tableColumn id="2" xr3:uid="{BE052D2A-1743-42F7-95D0-D9D56BB72F10}" name="Expenses" dataDxfId="8"/>
    <tableColumn id="3" xr3:uid="{2F124008-1BEB-441E-9EE1-4530C6333D6C}" name="Order" dataDxfId="7"/>
    <tableColumn id="4" xr3:uid="{3D1C2A57-6391-4888-9804-FD65934E4E1C}" name="Tim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58E0FC-BD01-4D26-93AE-8A4A8EA88588}">
  <we:reference id="wa200000113" version="1.0.0.0" store="en-CA" storeType="OMEX"/>
  <we:alternateReferences>
    <we:reference id="WA200000113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D0AA-13D1-4D93-8B1D-D33FBA010A51}">
  <dimension ref="A1:F21"/>
  <sheetViews>
    <sheetView zoomScale="102" zoomScaleNormal="102" workbookViewId="0">
      <selection activeCell="D11" sqref="D11"/>
    </sheetView>
  </sheetViews>
  <sheetFormatPr defaultColWidth="8.88671875" defaultRowHeight="13.8" x14ac:dyDescent="0.25"/>
  <cols>
    <col min="1" max="1" width="12.109375" style="8" bestFit="1" customWidth="1"/>
    <col min="2" max="2" width="11.33203125" style="8" bestFit="1" customWidth="1"/>
    <col min="3" max="3" width="7.88671875" style="9" bestFit="1" customWidth="1"/>
    <col min="4" max="4" width="62.109375" style="9" bestFit="1" customWidth="1"/>
    <col min="5" max="5" width="13.5546875" style="8" customWidth="1"/>
    <col min="6" max="6" width="8.88671875" style="12"/>
    <col min="7" max="9" width="8.88671875" style="11"/>
    <col min="10" max="10" width="12.44140625" style="11" bestFit="1" customWidth="1"/>
    <col min="11" max="11" width="13.6640625" style="11" bestFit="1" customWidth="1"/>
    <col min="12" max="12" width="15.44140625" style="11" bestFit="1" customWidth="1"/>
    <col min="13" max="16384" width="8.88671875" style="11"/>
  </cols>
  <sheetData>
    <row r="1" spans="1:6" x14ac:dyDescent="0.25">
      <c r="A1" s="8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1"/>
    </row>
    <row r="2" spans="1:6" ht="14.4" x14ac:dyDescent="0.3">
      <c r="A2" s="20">
        <v>4301.55</v>
      </c>
      <c r="B2" s="20">
        <v>-2026.06</v>
      </c>
      <c r="C2" s="10">
        <v>1</v>
      </c>
      <c r="D2" t="s">
        <v>15</v>
      </c>
      <c r="E2" s="10">
        <v>1</v>
      </c>
      <c r="F2" s="11"/>
    </row>
    <row r="3" spans="1:6" ht="14.4" x14ac:dyDescent="0.3">
      <c r="A3" s="20">
        <v>4301.55</v>
      </c>
      <c r="B3" s="20">
        <v>-2026.06</v>
      </c>
      <c r="C3" s="10">
        <v>2</v>
      </c>
      <c r="D3" s="12" t="s">
        <v>16</v>
      </c>
      <c r="E3" s="10">
        <v>2</v>
      </c>
      <c r="F3" s="11"/>
    </row>
    <row r="4" spans="1:6" ht="14.4" x14ac:dyDescent="0.3">
      <c r="A4" s="20">
        <v>4301.55</v>
      </c>
      <c r="B4" s="20">
        <v>-2026.06</v>
      </c>
      <c r="C4" s="10">
        <v>3</v>
      </c>
      <c r="D4" s="12" t="s">
        <v>16</v>
      </c>
      <c r="E4" s="10">
        <v>3</v>
      </c>
      <c r="F4" s="11"/>
    </row>
    <row r="5" spans="1:6" ht="14.4" x14ac:dyDescent="0.3">
      <c r="A5" s="20">
        <v>4301.55</v>
      </c>
      <c r="B5" s="20">
        <v>-2026.06</v>
      </c>
      <c r="C5" s="10">
        <v>4</v>
      </c>
      <c r="D5" s="12" t="s">
        <v>16</v>
      </c>
      <c r="E5" s="10">
        <v>4</v>
      </c>
      <c r="F5" s="11"/>
    </row>
    <row r="6" spans="1:6" ht="14.4" x14ac:dyDescent="0.3">
      <c r="A6" s="20">
        <v>4301.55</v>
      </c>
      <c r="B6" s="20">
        <v>-2026.06</v>
      </c>
      <c r="C6" s="10">
        <v>5</v>
      </c>
      <c r="D6" s="12" t="s">
        <v>16</v>
      </c>
      <c r="E6" s="10">
        <v>5</v>
      </c>
      <c r="F6" s="11"/>
    </row>
    <row r="7" spans="1:6" ht="14.4" x14ac:dyDescent="0.3">
      <c r="A7" s="20">
        <v>4301.55</v>
      </c>
      <c r="B7" s="20">
        <v>-2026.06</v>
      </c>
      <c r="C7" s="10">
        <v>6</v>
      </c>
      <c r="D7" s="12" t="s">
        <v>16</v>
      </c>
      <c r="E7" s="10">
        <v>6</v>
      </c>
      <c r="F7" s="11"/>
    </row>
    <row r="8" spans="1:6" ht="14.4" x14ac:dyDescent="0.3">
      <c r="A8" s="20">
        <v>4301.55</v>
      </c>
      <c r="B8" s="20">
        <v>-2026.06</v>
      </c>
      <c r="C8" s="10">
        <v>7</v>
      </c>
      <c r="D8" s="12" t="s">
        <v>16</v>
      </c>
      <c r="E8" s="10">
        <v>7</v>
      </c>
      <c r="F8" s="11"/>
    </row>
    <row r="9" spans="1:6" ht="14.4" x14ac:dyDescent="0.3">
      <c r="A9" s="20">
        <f>SUM(4301.55+6000)</f>
        <v>10301.549999999999</v>
      </c>
      <c r="B9" s="20">
        <v>-2026.06</v>
      </c>
      <c r="C9" s="10">
        <v>8</v>
      </c>
      <c r="D9" t="s">
        <v>17</v>
      </c>
      <c r="E9" s="10">
        <v>8</v>
      </c>
      <c r="F9" s="11"/>
    </row>
    <row r="10" spans="1:6" x14ac:dyDescent="0.25">
      <c r="F10" s="11"/>
    </row>
    <row r="11" spans="1:6" x14ac:dyDescent="0.25">
      <c r="F11" s="11"/>
    </row>
    <row r="12" spans="1:6" x14ac:dyDescent="0.25">
      <c r="F12" s="11"/>
    </row>
    <row r="13" spans="1:6" x14ac:dyDescent="0.25">
      <c r="F13" s="11"/>
    </row>
    <row r="14" spans="1:6" x14ac:dyDescent="0.25">
      <c r="F14" s="11"/>
    </row>
    <row r="15" spans="1:6" x14ac:dyDescent="0.25">
      <c r="F15" s="11"/>
    </row>
    <row r="16" spans="1:6" x14ac:dyDescent="0.25">
      <c r="F16" s="11"/>
    </row>
    <row r="17" spans="1:6" x14ac:dyDescent="0.25">
      <c r="F17" s="11"/>
    </row>
    <row r="18" spans="1:6" x14ac:dyDescent="0.25">
      <c r="A18" s="22"/>
      <c r="F18" s="11"/>
    </row>
    <row r="19" spans="1:6" x14ac:dyDescent="0.25">
      <c r="F19" s="11"/>
    </row>
    <row r="20" spans="1:6" x14ac:dyDescent="0.25">
      <c r="A20" s="8" t="s">
        <v>24</v>
      </c>
    </row>
    <row r="21" spans="1:6" x14ac:dyDescent="0.25">
      <c r="A21" s="8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BB8B-DA18-4381-B458-23FF07DDBFF8}">
  <dimension ref="A1:E5"/>
  <sheetViews>
    <sheetView workbookViewId="0">
      <selection activeCell="A4" sqref="A4"/>
    </sheetView>
  </sheetViews>
  <sheetFormatPr defaultRowHeight="14.4" x14ac:dyDescent="0.3"/>
  <cols>
    <col min="1" max="1" width="10.44140625" bestFit="1" customWidth="1"/>
    <col min="2" max="2" width="11" bestFit="1" customWidth="1"/>
    <col min="3" max="3" width="9" bestFit="1" customWidth="1"/>
    <col min="4" max="4" width="23.6640625" bestFit="1" customWidth="1"/>
    <col min="5" max="5" width="13.109375" bestFit="1" customWidth="1"/>
  </cols>
  <sheetData>
    <row r="1" spans="1:5" x14ac:dyDescent="0.3">
      <c r="A1" s="21" t="s">
        <v>18</v>
      </c>
    </row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 s="20">
        <v>4301.55</v>
      </c>
      <c r="C4">
        <v>1</v>
      </c>
      <c r="E4">
        <v>1</v>
      </c>
    </row>
    <row r="5" spans="1:5" x14ac:dyDescent="0.3">
      <c r="A5" s="2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207D-D720-4D1F-9AEB-69D9430DBC9D}">
  <dimension ref="A1:E4"/>
  <sheetViews>
    <sheetView workbookViewId="0">
      <selection activeCell="A3" sqref="A3:E4"/>
    </sheetView>
  </sheetViews>
  <sheetFormatPr defaultRowHeight="14.4" x14ac:dyDescent="0.3"/>
  <cols>
    <col min="1" max="1" width="9.44140625" bestFit="1" customWidth="1"/>
    <col min="2" max="2" width="11" bestFit="1" customWidth="1"/>
    <col min="3" max="3" width="9" bestFit="1" customWidth="1"/>
    <col min="4" max="4" width="23.6640625" bestFit="1" customWidth="1"/>
    <col min="5" max="5" width="13.109375" bestFit="1" customWidth="1"/>
  </cols>
  <sheetData>
    <row r="1" spans="1:5" x14ac:dyDescent="0.3">
      <c r="A1" s="21" t="s">
        <v>19</v>
      </c>
    </row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C4">
        <v>1</v>
      </c>
      <c r="E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1876-05DB-461A-B2B8-1111FD37EA2C}">
  <dimension ref="A1:E4"/>
  <sheetViews>
    <sheetView workbookViewId="0">
      <selection activeCell="B8" sqref="B8"/>
    </sheetView>
  </sheetViews>
  <sheetFormatPr defaultRowHeight="14.4" x14ac:dyDescent="0.3"/>
  <cols>
    <col min="1" max="1" width="9.44140625" bestFit="1" customWidth="1"/>
    <col min="2" max="2" width="11" bestFit="1" customWidth="1"/>
    <col min="3" max="3" width="9" bestFit="1" customWidth="1"/>
    <col min="4" max="4" width="23.6640625" bestFit="1" customWidth="1"/>
    <col min="5" max="5" width="13.109375" bestFit="1" customWidth="1"/>
  </cols>
  <sheetData>
    <row r="1" spans="1:5" x14ac:dyDescent="0.3">
      <c r="A1" s="21" t="s">
        <v>18</v>
      </c>
    </row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C4">
        <v>1</v>
      </c>
      <c r="E4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DC8-38CE-4695-9158-821E458CC49B}">
  <dimension ref="A1:E4"/>
  <sheetViews>
    <sheetView workbookViewId="0">
      <selection activeCell="A3" sqref="A3:E4"/>
    </sheetView>
  </sheetViews>
  <sheetFormatPr defaultRowHeight="14.4" x14ac:dyDescent="0.3"/>
  <cols>
    <col min="1" max="1" width="9.44140625" bestFit="1" customWidth="1"/>
    <col min="2" max="2" width="11" bestFit="1" customWidth="1"/>
    <col min="3" max="3" width="9" bestFit="1" customWidth="1"/>
    <col min="4" max="4" width="23.6640625" bestFit="1" customWidth="1"/>
    <col min="5" max="5" width="13.109375" bestFit="1" customWidth="1"/>
  </cols>
  <sheetData>
    <row r="1" spans="1:5" x14ac:dyDescent="0.3">
      <c r="A1" s="21" t="s">
        <v>20</v>
      </c>
    </row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C4">
        <v>16</v>
      </c>
      <c r="E4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B376-C413-4EE8-B344-5B0FF20B5EC4}">
  <dimension ref="A1:M41"/>
  <sheetViews>
    <sheetView tabSelected="1" topLeftCell="A22" zoomScaleNormal="100" workbookViewId="0">
      <selection activeCell="E22" sqref="E22:M38"/>
    </sheetView>
  </sheetViews>
  <sheetFormatPr defaultColWidth="8.88671875" defaultRowHeight="13.8" x14ac:dyDescent="0.25"/>
  <cols>
    <col min="1" max="1" width="14.21875" style="11" bestFit="1" customWidth="1"/>
    <col min="2" max="2" width="12.33203125" style="11" bestFit="1" customWidth="1"/>
    <col min="3" max="3" width="14.33203125" style="11" bestFit="1" customWidth="1"/>
    <col min="4" max="16384" width="8.88671875" style="11"/>
  </cols>
  <sheetData>
    <row r="1" spans="1:3" x14ac:dyDescent="0.25">
      <c r="A1" s="18" t="s">
        <v>5</v>
      </c>
      <c r="B1" s="19" t="s">
        <v>6</v>
      </c>
      <c r="C1" s="19" t="s">
        <v>7</v>
      </c>
    </row>
    <row r="2" spans="1:3" x14ac:dyDescent="0.25">
      <c r="A2" s="12">
        <v>1</v>
      </c>
      <c r="B2" s="44">
        <v>4301.55</v>
      </c>
      <c r="C2" s="44">
        <v>-2026.06</v>
      </c>
    </row>
    <row r="3" spans="1:3" x14ac:dyDescent="0.25">
      <c r="A3" s="12">
        <v>2</v>
      </c>
      <c r="B3" s="44">
        <v>4301.55</v>
      </c>
      <c r="C3" s="44">
        <v>-2026.06</v>
      </c>
    </row>
    <row r="4" spans="1:3" x14ac:dyDescent="0.25">
      <c r="A4" s="12">
        <v>3</v>
      </c>
      <c r="B4" s="44">
        <v>4301.55</v>
      </c>
      <c r="C4" s="44">
        <v>-2026.06</v>
      </c>
    </row>
    <row r="5" spans="1:3" x14ac:dyDescent="0.25">
      <c r="A5" s="12">
        <v>4</v>
      </c>
      <c r="B5" s="44">
        <v>4301.55</v>
      </c>
      <c r="C5" s="44">
        <v>-2026.06</v>
      </c>
    </row>
    <row r="6" spans="1:3" x14ac:dyDescent="0.25">
      <c r="A6" s="12">
        <v>5</v>
      </c>
      <c r="B6" s="44">
        <v>4301.55</v>
      </c>
      <c r="C6" s="44">
        <v>-2026.06</v>
      </c>
    </row>
    <row r="7" spans="1:3" x14ac:dyDescent="0.25">
      <c r="A7" s="12">
        <v>6</v>
      </c>
      <c r="B7" s="44">
        <v>4301.55</v>
      </c>
      <c r="C7" s="44">
        <v>-2026.06</v>
      </c>
    </row>
    <row r="8" spans="1:3" x14ac:dyDescent="0.25">
      <c r="A8" s="12">
        <v>7</v>
      </c>
      <c r="B8" s="44">
        <v>4301.55</v>
      </c>
      <c r="C8" s="44">
        <v>-2026.06</v>
      </c>
    </row>
    <row r="9" spans="1:3" x14ac:dyDescent="0.25">
      <c r="A9" s="12">
        <v>8</v>
      </c>
      <c r="B9" s="44">
        <v>10301.549999999999</v>
      </c>
      <c r="C9" s="44">
        <v>-2026.06</v>
      </c>
    </row>
    <row r="10" spans="1:3" x14ac:dyDescent="0.25">
      <c r="A10" s="12" t="s">
        <v>25</v>
      </c>
      <c r="B10" s="44"/>
      <c r="C10" s="44"/>
    </row>
    <row r="11" spans="1:3" x14ac:dyDescent="0.25">
      <c r="A11" s="12" t="s">
        <v>8</v>
      </c>
      <c r="B11" s="44">
        <v>40412.399999999994</v>
      </c>
      <c r="C11" s="44">
        <v>-16208.479999999998</v>
      </c>
    </row>
    <row r="12" spans="1:3" ht="14.4" x14ac:dyDescent="0.3">
      <c r="A12"/>
      <c r="B12"/>
      <c r="C12"/>
    </row>
    <row r="13" spans="1:3" ht="14.4" x14ac:dyDescent="0.3">
      <c r="A13"/>
      <c r="B13"/>
      <c r="C13"/>
    </row>
    <row r="14" spans="1:3" ht="14.4" x14ac:dyDescent="0.3">
      <c r="A14"/>
      <c r="B14"/>
      <c r="C14"/>
    </row>
    <row r="15" spans="1:3" ht="14.4" x14ac:dyDescent="0.3">
      <c r="A15"/>
      <c r="B15"/>
      <c r="C15"/>
    </row>
    <row r="16" spans="1:3" ht="14.4" x14ac:dyDescent="0.3">
      <c r="A16"/>
      <c r="B16"/>
      <c r="C16"/>
    </row>
    <row r="17" spans="1:13" ht="14.4" x14ac:dyDescent="0.3">
      <c r="A17"/>
      <c r="B17"/>
      <c r="C17"/>
    </row>
    <row r="18" spans="1:13" ht="14.4" x14ac:dyDescent="0.3">
      <c r="A18"/>
      <c r="B18"/>
      <c r="C18"/>
    </row>
    <row r="19" spans="1:13" ht="14.4" x14ac:dyDescent="0.3">
      <c r="A19"/>
      <c r="B19"/>
      <c r="C19"/>
    </row>
    <row r="22" spans="1:13" ht="14.4" customHeight="1" x14ac:dyDescent="0.25">
      <c r="E22" s="35" t="s">
        <v>29</v>
      </c>
      <c r="F22" s="36"/>
      <c r="G22" s="36"/>
      <c r="H22" s="36"/>
      <c r="I22" s="36"/>
      <c r="J22" s="36"/>
      <c r="K22" s="36"/>
      <c r="L22" s="36"/>
      <c r="M22" s="37"/>
    </row>
    <row r="23" spans="1:13" ht="14.4" customHeight="1" x14ac:dyDescent="0.25">
      <c r="E23" s="38"/>
      <c r="F23" s="39"/>
      <c r="G23" s="39"/>
      <c r="H23" s="39"/>
      <c r="I23" s="39"/>
      <c r="J23" s="39"/>
      <c r="K23" s="39"/>
      <c r="L23" s="39"/>
      <c r="M23" s="40"/>
    </row>
    <row r="24" spans="1:13" ht="14.4" customHeight="1" x14ac:dyDescent="0.25">
      <c r="E24" s="38"/>
      <c r="F24" s="39"/>
      <c r="G24" s="39"/>
      <c r="H24" s="39"/>
      <c r="I24" s="39"/>
      <c r="J24" s="39"/>
      <c r="K24" s="39"/>
      <c r="L24" s="39"/>
      <c r="M24" s="40"/>
    </row>
    <row r="25" spans="1:13" ht="14.4" customHeight="1" x14ac:dyDescent="0.25">
      <c r="E25" s="38"/>
      <c r="F25" s="39"/>
      <c r="G25" s="39"/>
      <c r="H25" s="39"/>
      <c r="I25" s="39"/>
      <c r="J25" s="39"/>
      <c r="K25" s="39"/>
      <c r="L25" s="39"/>
      <c r="M25" s="40"/>
    </row>
    <row r="26" spans="1:13" ht="14.4" customHeight="1" x14ac:dyDescent="0.25">
      <c r="E26" s="38"/>
      <c r="F26" s="39"/>
      <c r="G26" s="39"/>
      <c r="H26" s="39"/>
      <c r="I26" s="39"/>
      <c r="J26" s="39"/>
      <c r="K26" s="39"/>
      <c r="L26" s="39"/>
      <c r="M26" s="40"/>
    </row>
    <row r="27" spans="1:13" ht="14.4" customHeight="1" x14ac:dyDescent="0.25">
      <c r="E27" s="38"/>
      <c r="F27" s="39"/>
      <c r="G27" s="39"/>
      <c r="H27" s="39"/>
      <c r="I27" s="39"/>
      <c r="J27" s="39"/>
      <c r="K27" s="39"/>
      <c r="L27" s="39"/>
      <c r="M27" s="40"/>
    </row>
    <row r="28" spans="1:13" ht="14.4" customHeight="1" x14ac:dyDescent="0.25">
      <c r="E28" s="38"/>
      <c r="F28" s="39"/>
      <c r="G28" s="39"/>
      <c r="H28" s="39"/>
      <c r="I28" s="39"/>
      <c r="J28" s="39"/>
      <c r="K28" s="39"/>
      <c r="L28" s="39"/>
      <c r="M28" s="40"/>
    </row>
    <row r="29" spans="1:13" ht="14.4" customHeight="1" x14ac:dyDescent="0.25">
      <c r="E29" s="38"/>
      <c r="F29" s="39"/>
      <c r="G29" s="39"/>
      <c r="H29" s="39"/>
      <c r="I29" s="39"/>
      <c r="J29" s="39"/>
      <c r="K29" s="39"/>
      <c r="L29" s="39"/>
      <c r="M29" s="40"/>
    </row>
    <row r="30" spans="1:13" ht="14.4" customHeight="1" x14ac:dyDescent="0.25">
      <c r="E30" s="38"/>
      <c r="F30" s="39"/>
      <c r="G30" s="39"/>
      <c r="H30" s="39"/>
      <c r="I30" s="39"/>
      <c r="J30" s="39"/>
      <c r="K30" s="39"/>
      <c r="L30" s="39"/>
      <c r="M30" s="40"/>
    </row>
    <row r="31" spans="1:13" ht="14.4" customHeight="1" x14ac:dyDescent="0.25">
      <c r="E31" s="38"/>
      <c r="F31" s="39"/>
      <c r="G31" s="39"/>
      <c r="H31" s="39"/>
      <c r="I31" s="39"/>
      <c r="J31" s="39"/>
      <c r="K31" s="39"/>
      <c r="L31" s="39"/>
      <c r="M31" s="40"/>
    </row>
    <row r="32" spans="1:13" ht="14.4" customHeight="1" x14ac:dyDescent="0.25">
      <c r="E32" s="38"/>
      <c r="F32" s="39"/>
      <c r="G32" s="39"/>
      <c r="H32" s="39"/>
      <c r="I32" s="39"/>
      <c r="J32" s="39"/>
      <c r="K32" s="39"/>
      <c r="L32" s="39"/>
      <c r="M32" s="40"/>
    </row>
    <row r="33" spans="5:13" ht="14.4" customHeight="1" x14ac:dyDescent="0.25">
      <c r="E33" s="38"/>
      <c r="F33" s="39"/>
      <c r="G33" s="39"/>
      <c r="H33" s="39"/>
      <c r="I33" s="39"/>
      <c r="J33" s="39"/>
      <c r="K33" s="39"/>
      <c r="L33" s="39"/>
      <c r="M33" s="40"/>
    </row>
    <row r="34" spans="5:13" ht="14.4" customHeight="1" x14ac:dyDescent="0.25">
      <c r="E34" s="38"/>
      <c r="F34" s="39"/>
      <c r="G34" s="39"/>
      <c r="H34" s="39"/>
      <c r="I34" s="39"/>
      <c r="J34" s="39"/>
      <c r="K34" s="39"/>
      <c r="L34" s="39"/>
      <c r="M34" s="40"/>
    </row>
    <row r="35" spans="5:13" ht="14.4" customHeight="1" x14ac:dyDescent="0.25">
      <c r="E35" s="38"/>
      <c r="F35" s="39"/>
      <c r="G35" s="39"/>
      <c r="H35" s="39"/>
      <c r="I35" s="39"/>
      <c r="J35" s="39"/>
      <c r="K35" s="39"/>
      <c r="L35" s="39"/>
      <c r="M35" s="40"/>
    </row>
    <row r="36" spans="5:13" ht="14.4" customHeight="1" x14ac:dyDescent="0.25">
      <c r="E36" s="38"/>
      <c r="F36" s="39"/>
      <c r="G36" s="39"/>
      <c r="H36" s="39"/>
      <c r="I36" s="39"/>
      <c r="J36" s="39"/>
      <c r="K36" s="39"/>
      <c r="L36" s="39"/>
      <c r="M36" s="40"/>
    </row>
    <row r="37" spans="5:13" ht="14.4" customHeight="1" x14ac:dyDescent="0.25">
      <c r="E37" s="38"/>
      <c r="F37" s="39"/>
      <c r="G37" s="39"/>
      <c r="H37" s="39"/>
      <c r="I37" s="39"/>
      <c r="J37" s="39"/>
      <c r="K37" s="39"/>
      <c r="L37" s="39"/>
      <c r="M37" s="40"/>
    </row>
    <row r="38" spans="5:13" ht="14.4" customHeight="1" x14ac:dyDescent="0.25">
      <c r="E38" s="41"/>
      <c r="F38" s="42"/>
      <c r="G38" s="42"/>
      <c r="H38" s="42"/>
      <c r="I38" s="42"/>
      <c r="J38" s="42"/>
      <c r="K38" s="42"/>
      <c r="L38" s="42"/>
      <c r="M38" s="43"/>
    </row>
    <row r="40" spans="5:13" x14ac:dyDescent="0.25">
      <c r="E40" s="17" t="s">
        <v>27</v>
      </c>
    </row>
    <row r="41" spans="5:13" ht="14.4" x14ac:dyDescent="0.25">
      <c r="E41" s="45" t="s">
        <v>28</v>
      </c>
    </row>
  </sheetData>
  <mergeCells count="1">
    <mergeCell ref="E22:M38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E9D8-5026-9240-8D80-1EAC74298073}">
  <dimension ref="A1:O25"/>
  <sheetViews>
    <sheetView workbookViewId="0">
      <selection activeCell="I7" sqref="I7"/>
    </sheetView>
  </sheetViews>
  <sheetFormatPr defaultColWidth="11.44140625" defaultRowHeight="14.4" x14ac:dyDescent="0.3"/>
  <cols>
    <col min="1" max="1" width="18.5546875" customWidth="1"/>
    <col min="2" max="2" width="20" customWidth="1"/>
    <col min="3" max="3" width="13.44140625" customWidth="1"/>
    <col min="4" max="4" width="11.88671875" bestFit="1" customWidth="1"/>
    <col min="6" max="6" width="12.44140625" customWidth="1"/>
    <col min="9" max="9" width="54" bestFit="1" customWidth="1"/>
  </cols>
  <sheetData>
    <row r="1" spans="1:15" x14ac:dyDescent="0.3">
      <c r="A1" s="4" t="s">
        <v>9</v>
      </c>
      <c r="B1" s="5" t="s">
        <v>10</v>
      </c>
      <c r="C1" s="5" t="s">
        <v>11</v>
      </c>
      <c r="D1" s="5" t="s">
        <v>12</v>
      </c>
      <c r="E1" s="6" t="s">
        <v>13</v>
      </c>
      <c r="F1" s="7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13">
        <v>4301.55</v>
      </c>
      <c r="B2" s="13">
        <v>-2026.06</v>
      </c>
      <c r="C2" s="26">
        <f t="shared" ref="C2:C9" si="0">0.05/26</f>
        <v>1.9230769230769232E-3</v>
      </c>
      <c r="D2" s="27">
        <f>26/12</f>
        <v>2.1666666666666665</v>
      </c>
      <c r="E2" s="28">
        <f>PresentWorth[[#This Row],[Inflow Future Value]]/ (1 + PresentWorth[[#This Row],[Interest Rate]]) ^ PresentWorth[[#This Row],[Time]]</f>
        <v>4283.6813032161353</v>
      </c>
      <c r="F2" s="28">
        <f>PresentWorth[[#This Row],[Outflow Future Value]]/ ((1 + PresentWorth[[#This Row],[Interest Rate]]) ^ PresentWorth[[#This Row],[Time]])</f>
        <v>-2017.643719402095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14">
        <v>4301.55</v>
      </c>
      <c r="B3" s="13">
        <v>-2026.06</v>
      </c>
      <c r="C3" s="29">
        <f t="shared" si="0"/>
        <v>1.9230769230769232E-3</v>
      </c>
      <c r="D3" s="30">
        <f>$D2*2</f>
        <v>4.333333333333333</v>
      </c>
      <c r="E3" s="31">
        <f>PresentWorth[[#This Row],[Inflow Future Value]]/ (1 + PresentWorth[[#This Row],[Interest Rate]]) ^ PresentWorth[[#This Row],[Time]]</f>
        <v>4265.8868332399916</v>
      </c>
      <c r="F3" s="31">
        <f>PresentWorth[[#This Row],[Outflow Future Value]]/ ((1 + PresentWorth[[#This Row],[Interest Rate]]) ^ PresentWorth[[#This Row],[Time]])</f>
        <v>-2009.2624001474392</v>
      </c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13">
        <v>4301.55</v>
      </c>
      <c r="B4" s="13">
        <v>-2026.06</v>
      </c>
      <c r="C4" s="26">
        <f t="shared" si="0"/>
        <v>1.9230769230769232E-3</v>
      </c>
      <c r="D4" s="27">
        <f>$D2*3</f>
        <v>6.5</v>
      </c>
      <c r="E4" s="28">
        <f>PresentWorth[[#This Row],[Inflow Future Value]]/ (1 + PresentWorth[[#This Row],[Interest Rate]]) ^ PresentWorth[[#This Row],[Time]]</f>
        <v>4248.1662817324068</v>
      </c>
      <c r="F4" s="28">
        <f>PresentWorth[[#This Row],[Outflow Future Value]]/ ((1 + PresentWorth[[#This Row],[Interest Rate]]) ^ PresentWorth[[#This Row],[Time]])</f>
        <v>-2000.9158970061396</v>
      </c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4">
        <v>4301.55</v>
      </c>
      <c r="B5" s="13">
        <v>-2026.06</v>
      </c>
      <c r="C5" s="29">
        <f t="shared" si="0"/>
        <v>1.9230769230769232E-3</v>
      </c>
      <c r="D5" s="30">
        <f>D2*4</f>
        <v>8.6666666666666661</v>
      </c>
      <c r="E5" s="31">
        <f>PresentWorth[[#This Row],[Inflow Future Value]]/ (1 + PresentWorth[[#This Row],[Interest Rate]]) ^ PresentWorth[[#This Row],[Time]]</f>
        <v>4230.5193416350667</v>
      </c>
      <c r="F5" s="31">
        <f>PresentWorth[[#This Row],[Outflow Future Value]]/ ((1 + PresentWorth[[#This Row],[Interest Rate]]) ^ PresentWorth[[#This Row],[Time]])</f>
        <v>-1992.6040653515925</v>
      </c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13">
        <v>4301.55</v>
      </c>
      <c r="B6" s="13">
        <v>-2026.06</v>
      </c>
      <c r="C6" s="26">
        <f t="shared" si="0"/>
        <v>1.9230769230769232E-3</v>
      </c>
      <c r="D6" s="27">
        <f>D2*5</f>
        <v>10.833333333333332</v>
      </c>
      <c r="E6" s="28">
        <f>PresentWorth[[#This Row],[Inflow Future Value]]/ (1 + PresentWorth[[#This Row],[Interest Rate]]) ^ PresentWorth[[#This Row],[Time]]</f>
        <v>4212.9457071651768</v>
      </c>
      <c r="F6" s="28">
        <f>PresentWorth[[#This Row],[Outflow Future Value]]/ ((1 + PresentWorth[[#This Row],[Interest Rate]]) ^ PresentWorth[[#This Row],[Time]])</f>
        <v>-1984.3267611579729</v>
      </c>
      <c r="G6" s="2"/>
      <c r="H6" s="2"/>
      <c r="I6" s="2" t="s">
        <v>21</v>
      </c>
      <c r="J6" s="24">
        <f>SUM(E2:E9)</f>
        <v>39578.805648674846</v>
      </c>
      <c r="K6" s="2"/>
      <c r="L6" s="2"/>
      <c r="M6" s="2"/>
      <c r="N6" s="2"/>
      <c r="O6" s="2"/>
    </row>
    <row r="7" spans="1:15" x14ac:dyDescent="0.3">
      <c r="A7" s="14">
        <v>4301.55</v>
      </c>
      <c r="B7" s="13">
        <v>-2026.06</v>
      </c>
      <c r="C7" s="29">
        <f t="shared" si="0"/>
        <v>1.9230769230769232E-3</v>
      </c>
      <c r="D7" s="30">
        <f>D2*6</f>
        <v>13</v>
      </c>
      <c r="E7" s="31">
        <f>PresentWorth[[#This Row],[Inflow Future Value]]/ (1 + PresentWorth[[#This Row],[Interest Rate]]) ^ PresentWorth[[#This Row],[Time]]</f>
        <v>4195.4450738101723</v>
      </c>
      <c r="F7" s="31">
        <f>PresentWorth[[#This Row],[Outflow Future Value]]/ ((1 + PresentWorth[[#This Row],[Interest Rate]]) ^ PresentWorth[[#This Row],[Time]])</f>
        <v>-1976.0838409977421</v>
      </c>
      <c r="G7" s="2"/>
      <c r="H7" s="2"/>
      <c r="I7" s="2" t="s">
        <v>22</v>
      </c>
      <c r="J7" s="24">
        <f>SUM(F2:F9)</f>
        <v>-15908.412428145957</v>
      </c>
      <c r="K7" s="2"/>
      <c r="L7" s="2"/>
      <c r="M7" s="2"/>
      <c r="N7" s="2"/>
      <c r="O7" s="2"/>
    </row>
    <row r="8" spans="1:15" x14ac:dyDescent="0.3">
      <c r="A8" s="13">
        <v>4301.55</v>
      </c>
      <c r="B8" s="13">
        <v>-2026.06</v>
      </c>
      <c r="C8" s="26">
        <f t="shared" si="0"/>
        <v>1.9230769230769232E-3</v>
      </c>
      <c r="D8" s="27">
        <f>D2*7</f>
        <v>15.166666666666666</v>
      </c>
      <c r="E8" s="28">
        <f>PresentWorth[[#This Row],[Inflow Future Value]]/ (1 + PresentWorth[[#This Row],[Interest Rate]]) ^ PresentWorth[[#This Row],[Time]]</f>
        <v>4178.017138322436</v>
      </c>
      <c r="F8" s="28">
        <f>PresentWorth[[#This Row],[Outflow Future Value]]/ ((1 + PresentWorth[[#This Row],[Interest Rate]]) ^ PresentWorth[[#This Row],[Time]])</f>
        <v>-1967.8751620391611</v>
      </c>
      <c r="G8" s="2"/>
      <c r="H8" s="2"/>
      <c r="I8" s="2" t="s">
        <v>23</v>
      </c>
      <c r="J8" s="25">
        <f>J6+J7</f>
        <v>23670.393220528887</v>
      </c>
      <c r="K8" s="2"/>
      <c r="L8" s="2"/>
      <c r="M8" s="2"/>
      <c r="N8" s="2"/>
      <c r="O8" s="2"/>
    </row>
    <row r="9" spans="1:15" x14ac:dyDescent="0.3">
      <c r="A9" s="23">
        <v>10301.549999999999</v>
      </c>
      <c r="B9" s="13">
        <v>-2026.06</v>
      </c>
      <c r="C9" s="29">
        <f t="shared" si="0"/>
        <v>1.9230769230769232E-3</v>
      </c>
      <c r="D9" s="30">
        <f>D2*8</f>
        <v>17.333333333333332</v>
      </c>
      <c r="E9" s="31">
        <f>PresentWorth[[#This Row],[Inflow Future Value]]/ (1 + PresentWorth[[#This Row],[Interest Rate]]) ^ PresentWorth[[#This Row],[Time]]</f>
        <v>9964.1439695534555</v>
      </c>
      <c r="F9" s="31">
        <f>PresentWorth[[#This Row],[Outflow Future Value]]/ ((1 + PresentWorth[[#This Row],[Interest Rate]]) ^ PresentWorth[[#This Row],[Time]])</f>
        <v>-1959.700582043816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A10" s="13"/>
      <c r="B10" s="13"/>
      <c r="C10" s="26"/>
      <c r="D10" s="27"/>
      <c r="E10" s="28"/>
      <c r="F10" s="28"/>
      <c r="G10" s="2"/>
      <c r="H10" s="2"/>
      <c r="I10" s="2"/>
      <c r="J10" s="24"/>
      <c r="K10" s="2"/>
      <c r="L10" s="2"/>
      <c r="M10" s="2"/>
      <c r="N10" s="2"/>
      <c r="O10" s="2"/>
    </row>
    <row r="11" spans="1:15" x14ac:dyDescent="0.3">
      <c r="A11" s="14"/>
      <c r="B11" s="14"/>
      <c r="C11" s="29"/>
      <c r="D11" s="30"/>
      <c r="E11" s="31"/>
      <c r="F11" s="31"/>
      <c r="G11" s="2"/>
      <c r="H11" s="2"/>
      <c r="I11" s="2"/>
      <c r="J11" s="24"/>
      <c r="K11" s="2"/>
      <c r="L11" s="2"/>
      <c r="M11" s="2"/>
      <c r="N11" s="2"/>
      <c r="O11" s="2"/>
    </row>
    <row r="12" spans="1:15" x14ac:dyDescent="0.3">
      <c r="A12" s="13"/>
      <c r="B12" s="13"/>
      <c r="C12" s="26"/>
      <c r="D12" s="27"/>
      <c r="E12" s="28"/>
      <c r="F12" s="28"/>
      <c r="G12" s="2"/>
      <c r="H12" s="2"/>
      <c r="I12" s="2"/>
      <c r="J12" s="24"/>
      <c r="K12" s="2"/>
      <c r="L12" s="2"/>
      <c r="M12" s="2"/>
      <c r="N12" s="2"/>
      <c r="O12" s="2"/>
    </row>
    <row r="13" spans="1:15" x14ac:dyDescent="0.3">
      <c r="A13" s="14"/>
      <c r="B13" s="14"/>
      <c r="C13" s="29"/>
      <c r="D13" s="30"/>
      <c r="E13" s="31"/>
      <c r="F13" s="31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13"/>
      <c r="B14" s="13"/>
      <c r="C14" s="26"/>
      <c r="D14" s="27"/>
      <c r="E14" s="28"/>
      <c r="F14" s="28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14"/>
      <c r="B15" s="14"/>
      <c r="C15" s="29"/>
      <c r="D15" s="30"/>
      <c r="E15" s="31"/>
      <c r="F15" s="31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13"/>
      <c r="B16" s="13"/>
      <c r="C16" s="26"/>
      <c r="D16" s="27"/>
      <c r="E16" s="28"/>
      <c r="F16" s="28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15"/>
      <c r="B17" s="15"/>
      <c r="C17" s="34"/>
      <c r="D17" s="33"/>
      <c r="E17" s="32"/>
      <c r="F17" s="3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13"/>
      <c r="B18" s="13"/>
      <c r="C18" s="13"/>
      <c r="D18" s="13"/>
      <c r="E18" s="13"/>
      <c r="F18" s="13"/>
    </row>
    <row r="19" spans="1:15" x14ac:dyDescent="0.3">
      <c r="A19" s="14"/>
      <c r="B19" s="14"/>
      <c r="C19" s="14"/>
      <c r="D19" s="14"/>
      <c r="E19" s="14"/>
      <c r="F19" s="14"/>
    </row>
    <row r="20" spans="1:15" x14ac:dyDescent="0.3">
      <c r="A20" s="13"/>
      <c r="B20" s="13"/>
      <c r="C20" s="13"/>
      <c r="D20" s="13"/>
      <c r="E20" s="13"/>
      <c r="F20" s="13"/>
    </row>
    <row r="21" spans="1:15" x14ac:dyDescent="0.3">
      <c r="A21" s="14"/>
      <c r="B21" s="14"/>
      <c r="C21" s="14"/>
      <c r="D21" s="14"/>
      <c r="E21" s="14"/>
      <c r="F21" s="14"/>
    </row>
    <row r="22" spans="1:15" x14ac:dyDescent="0.3">
      <c r="A22" s="13"/>
      <c r="B22" s="13"/>
      <c r="C22" s="13"/>
      <c r="D22" s="13"/>
      <c r="E22" s="13"/>
      <c r="F22" s="13"/>
    </row>
    <row r="23" spans="1:15" x14ac:dyDescent="0.3">
      <c r="A23" s="14"/>
      <c r="B23" s="14"/>
      <c r="C23" s="14"/>
      <c r="D23" s="14"/>
      <c r="E23" s="14"/>
      <c r="F23" s="14"/>
    </row>
    <row r="24" spans="1:15" x14ac:dyDescent="0.3">
      <c r="A24" s="13"/>
      <c r="B24" s="13"/>
      <c r="C24" s="13"/>
      <c r="D24" s="13"/>
      <c r="E24" s="13"/>
      <c r="F24" s="13"/>
    </row>
    <row r="25" spans="1:15" x14ac:dyDescent="0.3">
      <c r="A25" s="15"/>
      <c r="B25" s="15"/>
      <c r="C25" s="15"/>
      <c r="D25" s="15"/>
      <c r="E25" s="15"/>
      <c r="F25" s="1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AC9C-3EB1-4771-95BD-77B3F138E970}">
  <dimension ref="A1:M17"/>
  <sheetViews>
    <sheetView workbookViewId="0">
      <selection activeCell="G19" sqref="G19"/>
    </sheetView>
  </sheetViews>
  <sheetFormatPr defaultColWidth="8.88671875" defaultRowHeight="13.8" x14ac:dyDescent="0.25"/>
  <cols>
    <col min="1" max="1" width="12" style="11" bestFit="1" customWidth="1"/>
    <col min="2" max="2" width="12.6640625" style="11" bestFit="1" customWidth="1"/>
    <col min="3" max="3" width="8" style="11" hidden="1" customWidth="1"/>
    <col min="4" max="4" width="7.33203125" style="11" bestFit="1" customWidth="1"/>
    <col min="5" max="12" width="5" style="11" bestFit="1" customWidth="1"/>
    <col min="13" max="13" width="5.6640625" style="11" bestFit="1" customWidth="1"/>
    <col min="14" max="16384" width="8.88671875" style="11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12</v>
      </c>
    </row>
    <row r="2" spans="1:13" x14ac:dyDescent="0.25">
      <c r="C2" s="11">
        <v>1</v>
      </c>
      <c r="D2" s="11">
        <v>1</v>
      </c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C3" s="11">
        <v>2</v>
      </c>
      <c r="D3" s="11">
        <v>2</v>
      </c>
    </row>
    <row r="4" spans="1:13" x14ac:dyDescent="0.25">
      <c r="C4" s="11">
        <v>3</v>
      </c>
      <c r="D4" s="11">
        <v>3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C5" s="11">
        <v>4</v>
      </c>
      <c r="D5" s="11">
        <v>4</v>
      </c>
    </row>
    <row r="6" spans="1:13" x14ac:dyDescent="0.25">
      <c r="C6" s="11">
        <v>5</v>
      </c>
      <c r="D6" s="11">
        <v>5</v>
      </c>
    </row>
    <row r="7" spans="1:13" x14ac:dyDescent="0.25">
      <c r="C7" s="11">
        <v>6</v>
      </c>
      <c r="D7" s="11">
        <v>6</v>
      </c>
    </row>
    <row r="8" spans="1:13" x14ac:dyDescent="0.25">
      <c r="C8" s="11">
        <v>7</v>
      </c>
      <c r="D8" s="11">
        <v>7</v>
      </c>
    </row>
    <row r="9" spans="1:13" x14ac:dyDescent="0.25">
      <c r="C9" s="11">
        <v>8</v>
      </c>
      <c r="D9" s="11">
        <v>8</v>
      </c>
    </row>
    <row r="10" spans="1:13" x14ac:dyDescent="0.25">
      <c r="C10" s="11">
        <v>9</v>
      </c>
      <c r="D10" s="11">
        <v>9</v>
      </c>
    </row>
    <row r="11" spans="1:13" x14ac:dyDescent="0.25">
      <c r="C11" s="11">
        <v>10</v>
      </c>
      <c r="D11" s="11">
        <v>10</v>
      </c>
    </row>
    <row r="12" spans="1:13" x14ac:dyDescent="0.25">
      <c r="C12" s="11">
        <v>11</v>
      </c>
      <c r="D12" s="11">
        <v>11</v>
      </c>
    </row>
    <row r="13" spans="1:13" x14ac:dyDescent="0.25">
      <c r="C13" s="11">
        <v>12</v>
      </c>
      <c r="D13" s="11">
        <v>12</v>
      </c>
    </row>
    <row r="14" spans="1:13" x14ac:dyDescent="0.25">
      <c r="C14" s="11">
        <v>13</v>
      </c>
      <c r="D14" s="11">
        <v>13</v>
      </c>
    </row>
    <row r="15" spans="1:13" x14ac:dyDescent="0.25">
      <c r="C15" s="11">
        <v>14</v>
      </c>
      <c r="D15" s="11">
        <v>14</v>
      </c>
    </row>
    <row r="16" spans="1:13" x14ac:dyDescent="0.25">
      <c r="C16" s="11">
        <v>15</v>
      </c>
      <c r="D16" s="11">
        <v>15</v>
      </c>
    </row>
    <row r="17" spans="4:4" x14ac:dyDescent="0.25">
      <c r="D17" s="11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C17E552CE50459814B45CAB38E643" ma:contentTypeVersion="16" ma:contentTypeDescription="Create a new document." ma:contentTypeScope="" ma:versionID="a2c4a0a3be967a154ef3fcd83466f29a">
  <xsd:schema xmlns:xsd="http://www.w3.org/2001/XMLSchema" xmlns:xs="http://www.w3.org/2001/XMLSchema" xmlns:p="http://schemas.microsoft.com/office/2006/metadata/properties" xmlns:ns2="006c7cb9-3c36-40e5-a5d9-86e0029a058a" xmlns:ns3="a5db53bf-fe91-4cb9-a657-3e0c4c7ee7a0" targetNamespace="http://schemas.microsoft.com/office/2006/metadata/properties" ma:root="true" ma:fieldsID="4cb9171e460dc7c1a5cf1b2c367a13c3" ns2:_="" ns3:_="">
    <xsd:import namespace="006c7cb9-3c36-40e5-a5d9-86e0029a058a"/>
    <xsd:import namespace="a5db53bf-fe91-4cb9-a657-3e0c4c7ee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7cb9-3c36-40e5-a5d9-86e0029a05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6cf274-fc21-4180-95bc-11d99ba0f523}" ma:internalName="TaxCatchAll" ma:showField="CatchAllData" ma:web="006c7cb9-3c36-40e5-a5d9-86e0029a0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b53bf-fe91-4cb9-a657-3e0c4c7ee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6c7cb9-3c36-40e5-a5d9-86e0029a058a" xsi:nil="true"/>
    <lcf76f155ced4ddcb4097134ff3c332f xmlns="a5db53bf-fe91-4cb9-a657-3e0c4c7ee7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5BE59E-C15F-4B02-AE9F-3378D8C85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c7cb9-3c36-40e5-a5d9-86e0029a058a"/>
    <ds:schemaRef ds:uri="a5db53bf-fe91-4cb9-a657-3e0c4c7ee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5E8CDF-DBC3-4BAA-B111-4527677C0B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EC47EC-A1EB-4F3D-B05F-B3D5515BF978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006c7cb9-3c36-40e5-a5d9-86e0029a058a"/>
    <ds:schemaRef ds:uri="http://purl.org/dc/dcmitype/"/>
    <ds:schemaRef ds:uri="http://purl.org/dc/terms/"/>
    <ds:schemaRef ds:uri="a5db53bf-fe91-4cb9-a657-3e0c4c7ee7a0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Cash Flows</vt:lpstr>
      <vt:lpstr>Detail1</vt:lpstr>
      <vt:lpstr>Detail2</vt:lpstr>
      <vt:lpstr>Detail3</vt:lpstr>
      <vt:lpstr>Detail4</vt:lpstr>
      <vt:lpstr>Cash Flow Diagram</vt:lpstr>
      <vt:lpstr>PW </vt:lpstr>
      <vt:lpstr>Extra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Felicity Rugard</dc:creator>
  <cp:keywords/>
  <dc:description/>
  <cp:lastModifiedBy>Tridib Banik</cp:lastModifiedBy>
  <cp:revision/>
  <dcterms:created xsi:type="dcterms:W3CDTF">2024-05-23T19:58:43Z</dcterms:created>
  <dcterms:modified xsi:type="dcterms:W3CDTF">2026-02-03T04:08:38Z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0x01010069BC17E552CE50459814B45CAB38E643</vt:lpwstr>
  </property>
  <property fmtid="{D5CDD505-2E9C-101B-9397-08002B2CF9AE}" pid="3" name="MediaServiceImageTags">
    <vt:lpwstr/>
  </property>
  <property fmtid="{D5CDD505-2E9C-101B-9397-08002B2CF9AE}" pid="4" name="Order">
    <vt:r8>102000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