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6.xml" ContentType="application/vnd.openxmlformats-officedocument.spreadsheetml.table+xml"/>
  <Override PartName="/xl/tables/table7.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C:\Users\OWNER\Downloads\"/>
    </mc:Choice>
  </mc:AlternateContent>
  <xr:revisionPtr revIDLastSave="0" documentId="8_{5DC6F8B6-E7A3-4D43-BF53-DBD8624F7E33}" xr6:coauthVersionLast="47" xr6:coauthVersionMax="47" xr10:uidLastSave="{00000000-0000-0000-0000-000000000000}"/>
  <bookViews>
    <workbookView xWindow="-108" yWindow="-108" windowWidth="23256" windowHeight="12456" xr2:uid="{9B789AAF-6030-40EA-B24B-6CC9C3D80892}"/>
  </bookViews>
  <sheets>
    <sheet name="Cash Flows" sheetId="1" r:id="rId1"/>
    <sheet name="Detail1" sheetId="9" state="hidden" r:id="rId2"/>
    <sheet name="Detail2" sheetId="10" state="hidden" r:id="rId3"/>
    <sheet name="Detail3" sheetId="11" state="hidden" r:id="rId4"/>
    <sheet name="Detail4" sheetId="12" state="hidden" r:id="rId5"/>
    <sheet name="Cash Flow Diagram" sheetId="3" r:id="rId6"/>
    <sheet name="PW " sheetId="7" r:id="rId7"/>
    <sheet name="Extra Sheet" sheetId="6" r:id="rId8"/>
  </sheets>
  <calcPr calcId="191028"/>
  <pivotCaches>
    <pivotCache cacheId="31" r:id="rId9"/>
  </pivotCaches>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5" i="7" l="1"/>
  <c r="C2" i="7"/>
  <c r="D2" i="7"/>
  <c r="D5" i="7" s="1"/>
  <c r="F2" i="7"/>
  <c r="C3" i="7"/>
  <c r="D3" i="7"/>
  <c r="E3" i="7"/>
  <c r="F3" i="7"/>
  <c r="C4" i="7"/>
  <c r="D4" i="7"/>
  <c r="C5" i="7"/>
  <c r="C6" i="7"/>
  <c r="E6" i="7" s="1"/>
  <c r="D6" i="7"/>
  <c r="C7" i="7"/>
  <c r="D7" i="7"/>
  <c r="E7" i="7"/>
  <c r="F7" i="7"/>
  <c r="C8" i="7"/>
  <c r="C9" i="7"/>
  <c r="D9" i="7"/>
  <c r="E9" i="7"/>
  <c r="F9" i="7"/>
  <c r="B9" i="1"/>
  <c r="B8" i="1"/>
  <c r="B7" i="1"/>
  <c r="B6" i="1"/>
  <c r="B5" i="1"/>
  <c r="B4" i="1"/>
  <c r="B3" i="1"/>
  <c r="B2" i="1"/>
  <c r="A9" i="1"/>
  <c r="A8" i="1"/>
  <c r="A7" i="1"/>
  <c r="A6" i="1"/>
  <c r="A5" i="1"/>
  <c r="A4" i="1"/>
  <c r="A3" i="1"/>
  <c r="A2" i="1"/>
  <c r="F6" i="7" l="1"/>
  <c r="F4" i="7"/>
  <c r="E5" i="7"/>
  <c r="F5" i="7"/>
  <c r="E4" i="7"/>
  <c r="E2" i="7"/>
  <c r="D8" i="7"/>
  <c r="E8" i="7" l="1"/>
  <c r="F8" i="7"/>
  <c r="J11" i="7" l="1"/>
  <c r="J10" i="7"/>
  <c r="J12" i="7" l="1"/>
</calcChain>
</file>

<file path=xl/sharedStrings.xml><?xml version="1.0" encoding="utf-8"?>
<sst xmlns="http://schemas.openxmlformats.org/spreadsheetml/2006/main" count="85" uniqueCount="53">
  <si>
    <t>Income</t>
  </si>
  <si>
    <t>Expenses</t>
  </si>
  <si>
    <t>Order</t>
  </si>
  <si>
    <t>Personal Considerations</t>
  </si>
  <si>
    <t>Time Period</t>
  </si>
  <si>
    <t>Row Labels</t>
  </si>
  <si>
    <t>Sum of Income</t>
  </si>
  <si>
    <t>Sum of Expenses</t>
  </si>
  <si>
    <t>Grand Total</t>
  </si>
  <si>
    <t>Inflow Future Value</t>
  </si>
  <si>
    <t>Outflow Future Value</t>
  </si>
  <si>
    <t>Interest Rate</t>
  </si>
  <si>
    <t>Time</t>
  </si>
  <si>
    <t>Inflow PW</t>
  </si>
  <si>
    <t>Outflow PW</t>
  </si>
  <si>
    <t>Same as above</t>
  </si>
  <si>
    <t>Details for Sum of Income - Time Period: 1</t>
  </si>
  <si>
    <t>Details for Sum of Expenses - Time Period: 1</t>
  </si>
  <si>
    <t>Details for Sum of Income - Time Period: 16</t>
  </si>
  <si>
    <t>Note: Timescale is monthly (Total 8 months, one row for each month)</t>
  </si>
  <si>
    <t>(blank)</t>
  </si>
  <si>
    <t>Note: The calculations for total income and expenses per month can be found in the word doc titled "banikt_07_T01_Week5"</t>
  </si>
  <si>
    <t xml:space="preserve">Total Inflow PW from Nunavut Power Company (Power Co-op): </t>
  </si>
  <si>
    <t xml:space="preserve">Total Outflow PW from Nunavut Power Company (Power Co-op): </t>
  </si>
  <si>
    <t xml:space="preserve">Total PW from Nunavut Power Company (Power Co-op): </t>
  </si>
  <si>
    <r>
      <t xml:space="preserve">In making this choice, I prioritized </t>
    </r>
    <r>
      <rPr>
        <b/>
        <sz val="11"/>
        <color theme="1"/>
        <rFont val="Aptos Narrow"/>
        <family val="2"/>
        <scheme val="minor"/>
      </rPr>
      <t>long-term professional growth and future earning potential</t>
    </r>
    <r>
      <rPr>
        <sz val="11"/>
        <color theme="1"/>
        <rFont val="Aptos Narrow"/>
        <family val="2"/>
        <scheme val="minor"/>
      </rPr>
      <t xml:space="preserve"> over short-term financial stability. Although the Power Co-op provides the highest monthly income and generous relocation allowances, its higher cost of living in a remote location reduces the net PW, and its long-term salary premium is lower ($4,500).</t>
    </r>
  </si>
  <si>
    <t>I would have chosen the Power Co-op instead if its long-term benefit, such as a projected early-career salary premium, exceeded $6,000, or if the R&amp;D Co-op’s total inflows were substantially lower due to fewer overtime opportunities or reduced technical exposure. Similarly, higher immediate cash flow, reduced living costs, or relocation incentives could have made the Power Co-op more attractive.</t>
  </si>
  <si>
    <t>Expected Monthly Rental Income</t>
  </si>
  <si>
    <t>Monthly rent if sublet = $900</t>
  </si>
  <si>
    <t>Probability of finding a tenant = 55% = 0.55</t>
  </si>
  <si>
    <t>Expected rental income per month:</t>
  </si>
  <si>
    <t>E[Rent]=Probability of finding a tenant * monthly rent if sublet + probablity of not finding a tenant * monthly rent when not sublet = 0.55×900+0.45×0=495 CAD/month</t>
  </si>
  <si>
    <t>Upfront cost</t>
  </si>
  <si>
    <t>One-time advertising/screening fee = $200</t>
  </si>
  <si>
    <t>Net expected cash flow from subletting per month (Month 1 includes $200 cost):</t>
  </si>
  <si>
    <t>Month 1: 495 - 200 = 295 CAD</t>
  </si>
  <si>
    <t>Months 2–8: 495 CAD each</t>
  </si>
  <si>
    <t>Income from co-op salary</t>
  </si>
  <si>
    <t>Income from month 1 rent</t>
  </si>
  <si>
    <t>Income from month 2-8 rent</t>
  </si>
  <si>
    <t>Month 8 long-term benefit</t>
  </si>
  <si>
    <t>Expenses for Month 1 (ad fee)</t>
  </si>
  <si>
    <t>Expenses for Month 2-8</t>
  </si>
  <si>
    <t>Expenses from Co-op Month 1</t>
  </si>
  <si>
    <t>Expenses from Co-op Month 2-4</t>
  </si>
  <si>
    <t>Expenses from Co-op Month 5</t>
  </si>
  <si>
    <t>Expenses from Co-op Month 6-8</t>
  </si>
  <si>
    <t>In-person Power Engineering role, internet activation fee, consistent monthly costs; Month 1 includes $200 sublet ad/screening cost</t>
  </si>
  <si>
    <t>Same as above, including expected sublet rental income</t>
  </si>
  <si>
    <t>Long-term industry &amp; Arctic experience benefit + $4,500, expected sublet rental income</t>
  </si>
  <si>
    <t>Before:</t>
  </si>
  <si>
    <t>After:</t>
  </si>
  <si>
    <t>So, the amount of money in PW terms I would save by subletting 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</si>
</sst>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quot;$&quot;* #,##0.00_-;_-&quot;$&quot;* &quot;-&quot;??_-;_-@_-"/>
    <numFmt numFmtId="164" formatCode="0.000000"/>
    <numFmt numFmtId="165" formatCode="0.000"/>
  </numFmts>
  <fonts count="10" x14ac:knownFonts="1">
    <font>
      <sz val="11"/>
      <color theme="1"/>
      <name val="Aptos Narrow"/>
      <family val="2"/>
      <scheme val="minor"/>
    </font>
    <font>
      <sz val="8"/>
      <name val="Aptos Narrow"/>
      <family val="2"/>
      <scheme val="minor"/>
    </font>
    <font>
      <b/>
      <sz val="11"/>
      <color rgb="FF000000"/>
      <name val="Aptos Narrow"/>
      <family val="2"/>
      <scheme val="minor"/>
    </font>
    <font>
      <sz val="11"/>
      <color rgb="FF000000"/>
      <name val="Aptos Narrow"/>
      <family val="2"/>
      <scheme val="minor"/>
    </font>
    <font>
      <b/>
      <sz val="11"/>
      <color rgb="FFFFFFFF"/>
      <name val="Aptos Narrow"/>
      <family val="2"/>
      <scheme val="minor"/>
    </font>
    <font>
      <sz val="11"/>
      <color theme="1"/>
      <name val="Arial Narrow"/>
      <family val="2"/>
    </font>
    <font>
      <sz val="11"/>
      <color rgb="FF000000"/>
      <name val="Arial Narrow"/>
      <family val="2"/>
    </font>
    <font>
      <b/>
      <sz val="11"/>
      <color theme="1"/>
      <name val="Arial Narrow"/>
      <family val="2"/>
    </font>
    <font>
      <sz val="11"/>
      <color theme="1"/>
      <name val="Aptos Narrow"/>
      <family val="2"/>
      <scheme val="minor"/>
    </font>
    <font>
      <b/>
      <sz val="11"/>
      <color theme="1"/>
      <name val="Aptos Narrow"/>
      <family val="2"/>
      <scheme val="minor"/>
    </font>
  </fonts>
  <fills count="5">
    <fill>
      <patternFill patternType="none"/>
    </fill>
    <fill>
      <patternFill patternType="gray125"/>
    </fill>
    <fill>
      <patternFill patternType="solid">
        <fgColor rgb="FF156082"/>
        <bgColor rgb="FF156082"/>
      </patternFill>
    </fill>
    <fill>
      <patternFill patternType="solid">
        <fgColor rgb="FFC0E6F5"/>
        <bgColor rgb="FFC0E6F5"/>
      </patternFill>
    </fill>
    <fill>
      <patternFill patternType="solid">
        <fgColor theme="0" tint="-0.14999847407452621"/>
        <bgColor theme="0" tint="-0.14999847407452621"/>
      </patternFill>
    </fill>
  </fills>
  <borders count="5">
    <border>
      <left/>
      <right/>
      <top/>
      <bottom/>
      <diagonal/>
    </border>
    <border>
      <left style="thin">
        <color rgb="FF44B3E1"/>
      </left>
      <right style="thin">
        <color rgb="FF000000"/>
      </right>
      <top style="thin">
        <color rgb="FF44B3E1"/>
      </top>
      <bottom style="thin">
        <color rgb="FF44B3E1"/>
      </bottom>
      <diagonal/>
    </border>
    <border>
      <left/>
      <right style="thin">
        <color rgb="FF000000"/>
      </right>
      <top style="thin">
        <color rgb="FF44B3E1"/>
      </top>
      <bottom style="thin">
        <color rgb="FF44B3E1"/>
      </bottom>
      <diagonal/>
    </border>
    <border>
      <left/>
      <right style="thin">
        <color rgb="FF000000"/>
      </right>
      <top/>
      <bottom/>
      <diagonal/>
    </border>
    <border>
      <left/>
      <right style="thin">
        <color rgb="FF000000"/>
      </right>
      <top style="thin">
        <color rgb="FF44B3E1"/>
      </top>
      <bottom/>
      <diagonal/>
    </border>
  </borders>
  <cellStyleXfs count="2">
    <xf numFmtId="0" fontId="0" fillId="0" borderId="0"/>
    <xf numFmtId="44" fontId="8" fillId="0" borderId="0" applyFont="0" applyFill="0" applyBorder="0" applyAlignment="0" applyProtection="0"/>
  </cellStyleXfs>
  <cellXfs count="42">
    <xf numFmtId="0" fontId="0" fillId="0" borderId="0" xfId="0"/>
    <xf numFmtId="0" fontId="2" fillId="0" borderId="0" xfId="0" applyFont="1"/>
    <xf numFmtId="0" fontId="3" fillId="0" borderId="0" xfId="0" applyFont="1"/>
    <xf numFmtId="0" fontId="2" fillId="0" borderId="0" xfId="0" applyFont="1" applyAlignment="1">
      <alignment vertical="top"/>
    </xf>
    <xf numFmtId="0" fontId="4" fillId="2" borderId="1" xfId="0" applyFont="1" applyFill="1" applyBorder="1"/>
    <xf numFmtId="0" fontId="4" fillId="2" borderId="2" xfId="0" applyFont="1" applyFill="1" applyBorder="1"/>
    <xf numFmtId="0" fontId="4" fillId="2" borderId="3" xfId="0" applyFont="1" applyFill="1" applyBorder="1"/>
    <xf numFmtId="0" fontId="4" fillId="2" borderId="0" xfId="0" applyFont="1" applyFill="1"/>
    <xf numFmtId="0" fontId="5" fillId="0" borderId="0" xfId="0" applyFont="1" applyProtection="1">
      <protection locked="0"/>
    </xf>
    <xf numFmtId="49" fontId="5" fillId="0" borderId="0" xfId="0" applyNumberFormat="1" applyFont="1"/>
    <xf numFmtId="0" fontId="5" fillId="0" borderId="0" xfId="0" applyFont="1" applyAlignment="1" applyProtection="1">
      <alignment horizontal="left"/>
      <protection locked="0"/>
    </xf>
    <xf numFmtId="0" fontId="5" fillId="0" borderId="0" xfId="0" applyFont="1"/>
    <xf numFmtId="0" fontId="5" fillId="0" borderId="0" xfId="0" applyFont="1" applyAlignment="1">
      <alignment horizontal="left"/>
    </xf>
    <xf numFmtId="0" fontId="6" fillId="3" borderId="2" xfId="0" applyFont="1" applyFill="1" applyBorder="1"/>
    <xf numFmtId="0" fontId="6" fillId="0" borderId="2" xfId="0" applyFont="1" applyBorder="1"/>
    <xf numFmtId="0" fontId="6" fillId="0" borderId="4" xfId="0" applyFont="1" applyBorder="1"/>
    <xf numFmtId="0" fontId="7" fillId="0" borderId="0" xfId="0" applyFont="1" applyAlignment="1">
      <alignment vertical="top"/>
    </xf>
    <xf numFmtId="0" fontId="7" fillId="0" borderId="0" xfId="0" applyFont="1"/>
    <xf numFmtId="0" fontId="5" fillId="0" borderId="0" xfId="0" pivotButton="1" applyFont="1" applyAlignment="1">
      <alignment horizontal="center"/>
    </xf>
    <xf numFmtId="0" fontId="5" fillId="0" borderId="0" xfId="0" applyFont="1" applyAlignment="1">
      <alignment horizontal="center"/>
    </xf>
    <xf numFmtId="44" fontId="0" fillId="0" borderId="0" xfId="1" applyFont="1"/>
    <xf numFmtId="0" fontId="9" fillId="0" borderId="0" xfId="0" applyFont="1"/>
    <xf numFmtId="0" fontId="7" fillId="0" borderId="0" xfId="0" applyFont="1" applyProtection="1">
      <protection locked="0"/>
    </xf>
    <xf numFmtId="44" fontId="3" fillId="0" borderId="0" xfId="1" applyFont="1"/>
    <xf numFmtId="44" fontId="3" fillId="0" borderId="0" xfId="0" applyNumberFormat="1" applyFont="1"/>
    <xf numFmtId="164" fontId="6" fillId="3" borderId="2" xfId="0" applyNumberFormat="1" applyFont="1" applyFill="1" applyBorder="1"/>
    <xf numFmtId="165" fontId="6" fillId="3" borderId="2" xfId="0" applyNumberFormat="1" applyFont="1" applyFill="1" applyBorder="1"/>
    <xf numFmtId="2" fontId="6" fillId="3" borderId="2" xfId="0" applyNumberFormat="1" applyFont="1" applyFill="1" applyBorder="1"/>
    <xf numFmtId="164" fontId="6" fillId="0" borderId="2" xfId="0" applyNumberFormat="1" applyFont="1" applyBorder="1"/>
    <xf numFmtId="165" fontId="6" fillId="0" borderId="2" xfId="0" applyNumberFormat="1" applyFont="1" applyBorder="1"/>
    <xf numFmtId="2" fontId="6" fillId="0" borderId="2" xfId="0" applyNumberFormat="1" applyFont="1" applyBorder="1"/>
    <xf numFmtId="2" fontId="6" fillId="0" borderId="4" xfId="0" applyNumberFormat="1" applyFont="1" applyBorder="1"/>
    <xf numFmtId="165" fontId="6" fillId="0" borderId="4" xfId="0" applyNumberFormat="1" applyFont="1" applyBorder="1"/>
    <xf numFmtId="164" fontId="6" fillId="0" borderId="4" xfId="0" applyNumberFormat="1" applyFont="1" applyBorder="1"/>
    <xf numFmtId="0" fontId="5" fillId="0" borderId="0" xfId="0" applyNumberFormat="1" applyFont="1"/>
    <xf numFmtId="0" fontId="0" fillId="0" borderId="0" xfId="0" applyAlignment="1">
      <alignment horizontal="left" vertical="center" indent="5"/>
    </xf>
    <xf numFmtId="0" fontId="0" fillId="0" borderId="0" xfId="0" applyFont="1" applyAlignment="1">
      <alignment horizontal="left" vertical="center" indent="1"/>
    </xf>
    <xf numFmtId="0" fontId="7" fillId="0" borderId="0" xfId="0" applyFont="1" applyAlignment="1">
      <alignment vertical="center"/>
    </xf>
    <xf numFmtId="0" fontId="5" fillId="0" borderId="0" xfId="0" applyFont="1" applyAlignment="1">
      <alignment horizontal="left" vertical="center" indent="1"/>
    </xf>
    <xf numFmtId="44" fontId="0" fillId="4" borderId="0" xfId="1" applyNumberFormat="1" applyFont="1" applyFill="1"/>
    <xf numFmtId="44" fontId="6" fillId="3" borderId="2" xfId="0" applyNumberFormat="1" applyFont="1" applyFill="1" applyBorder="1"/>
    <xf numFmtId="44" fontId="6" fillId="0" borderId="2" xfId="0" applyNumberFormat="1" applyFont="1" applyBorder="1"/>
  </cellXfs>
  <cellStyles count="2">
    <cellStyle name="Currency" xfId="1" builtinId="4"/>
    <cellStyle name="Normal" xfId="0" builtinId="0"/>
  </cellStyles>
  <dxfs count="34">
    <dxf>
      <font>
        <b val="0"/>
        <i val="0"/>
        <strike val="0"/>
        <condense val="0"/>
        <extend val="0"/>
        <outline val="0"/>
        <shadow val="0"/>
        <u val="none"/>
        <vertAlign val="baseline"/>
        <sz val="11"/>
        <color rgb="FF000000"/>
        <name val="Arial Narrow"/>
        <scheme val="minor"/>
      </font>
      <border diagonalUp="0" diagonalDown="0">
        <left/>
        <right style="thin">
          <color rgb="FF000000"/>
        </right>
        <top style="thin">
          <color rgb="FF44B3E1"/>
        </top>
        <bottom style="thin">
          <color rgb="FF44B3E1"/>
        </bottom>
        <vertical/>
        <horizontal/>
      </border>
    </dxf>
    <dxf>
      <font>
        <b val="0"/>
        <i val="0"/>
        <strike val="0"/>
        <condense val="0"/>
        <extend val="0"/>
        <outline val="0"/>
        <shadow val="0"/>
        <u val="none"/>
        <vertAlign val="baseline"/>
        <sz val="11"/>
        <color rgb="FF000000"/>
        <name val="Arial Narrow"/>
        <scheme val="minor"/>
      </font>
      <border diagonalUp="0" diagonalDown="0">
        <left/>
        <right style="thin">
          <color rgb="FF000000"/>
        </right>
        <top style="thin">
          <color rgb="FF44B3E1"/>
        </top>
        <bottom style="thin">
          <color rgb="FF44B3E1"/>
        </bottom>
        <vertical/>
        <horizontal/>
      </border>
    </dxf>
    <dxf>
      <font>
        <b val="0"/>
        <i val="0"/>
        <strike val="0"/>
        <condense val="0"/>
        <extend val="0"/>
        <outline val="0"/>
        <shadow val="0"/>
        <u val="none"/>
        <vertAlign val="baseline"/>
        <sz val="11"/>
        <color rgb="FF000000"/>
        <name val="Arial Narrow"/>
        <scheme val="minor"/>
      </font>
      <border diagonalUp="0" diagonalDown="0">
        <left/>
        <right style="thin">
          <color rgb="FF000000"/>
        </right>
        <top style="thin">
          <color rgb="FF44B3E1"/>
        </top>
        <bottom style="thin">
          <color rgb="FF44B3E1"/>
        </bottom>
        <vertical/>
        <horizontal/>
      </border>
    </dxf>
    <dxf>
      <font>
        <b val="0"/>
        <i val="0"/>
        <strike val="0"/>
        <condense val="0"/>
        <extend val="0"/>
        <outline val="0"/>
        <shadow val="0"/>
        <u val="none"/>
        <vertAlign val="baseline"/>
        <sz val="11"/>
        <color rgb="FF000000"/>
        <name val="Arial Narrow"/>
        <scheme val="minor"/>
      </font>
      <border diagonalUp="0" diagonalDown="0">
        <left/>
        <right style="thin">
          <color rgb="FF000000"/>
        </right>
        <top style="thin">
          <color rgb="FF44B3E1"/>
        </top>
        <bottom style="thin">
          <color rgb="FF44B3E1"/>
        </bottom>
        <vertical/>
        <horizontal/>
      </border>
    </dxf>
    <dxf>
      <font>
        <b val="0"/>
        <i val="0"/>
        <strike val="0"/>
        <condense val="0"/>
        <extend val="0"/>
        <outline val="0"/>
        <shadow val="0"/>
        <u val="none"/>
        <vertAlign val="baseline"/>
        <sz val="11"/>
        <color rgb="FF000000"/>
        <name val="Arial Narrow"/>
        <scheme val="minor"/>
      </font>
      <border diagonalUp="0" diagonalDown="0">
        <left/>
        <right style="thin">
          <color rgb="FF000000"/>
        </right>
        <top style="thin">
          <color rgb="FF44B3E1"/>
        </top>
        <bottom style="thin">
          <color rgb="FF44B3E1"/>
        </bottom>
        <vertical/>
        <horizontal/>
      </border>
    </dxf>
    <dxf>
      <font>
        <b val="0"/>
        <i val="0"/>
        <strike val="0"/>
        <condense val="0"/>
        <extend val="0"/>
        <outline val="0"/>
        <shadow val="0"/>
        <u val="none"/>
        <vertAlign val="baseline"/>
        <sz val="11"/>
        <color rgb="FF000000"/>
        <name val="Arial Narrow"/>
        <scheme val="minor"/>
      </font>
      <border diagonalUp="0" diagonalDown="0">
        <left/>
        <right style="thin">
          <color rgb="FF000000"/>
        </right>
        <top style="thin">
          <color rgb="FF44B3E1"/>
        </top>
        <bottom style="thin">
          <color rgb="FF44B3E1"/>
        </bottom>
        <vertical/>
        <horizontal/>
      </border>
    </dxf>
    <dxf>
      <border outline="0">
        <bottom style="thin">
          <color rgb="FF44B3E1"/>
        </bottom>
      </border>
    </dxf>
    <dxf>
      <font>
        <b val="0"/>
        <i val="0"/>
        <strike val="0"/>
        <condense val="0"/>
        <extend val="0"/>
        <outline val="0"/>
        <shadow val="0"/>
        <u val="none"/>
        <vertAlign val="baseline"/>
        <sz val="11"/>
        <color rgb="FF000000"/>
        <name val="Arial Narrow"/>
        <scheme val="minor"/>
      </font>
    </dxf>
    <dxf>
      <font>
        <b/>
        <i val="0"/>
        <strike val="0"/>
        <condense val="0"/>
        <extend val="0"/>
        <outline val="0"/>
        <shadow val="0"/>
        <u val="none"/>
        <vertAlign val="baseline"/>
        <sz val="11"/>
        <color rgb="FFFFFFFF"/>
        <name val="Aptos Narrow"/>
        <family val="2"/>
        <scheme val="minor"/>
      </font>
      <fill>
        <patternFill patternType="solid">
          <fgColor rgb="FF156082"/>
          <bgColor rgb="FF156082"/>
        </patternFill>
      </fill>
    </dxf>
    <dxf>
      <font>
        <name val="Arial Narrow"/>
      </font>
    </dxf>
    <dxf>
      <font>
        <name val="Arial Narrow"/>
      </font>
    </dxf>
    <dxf>
      <font>
        <name val="Arial Narrow"/>
      </font>
    </dxf>
    <dxf>
      <font>
        <name val="Arial Narrow"/>
      </font>
    </dxf>
    <dxf>
      <font>
        <name val="Arial Narrow"/>
      </font>
    </dxf>
    <dxf>
      <font>
        <name val="Arial Narrow"/>
      </font>
    </dxf>
    <dxf>
      <font>
        <name val="Arial Narrow"/>
      </font>
    </dxf>
    <dxf>
      <font>
        <name val="Arial Narrow"/>
      </font>
    </dxf>
    <dxf>
      <font>
        <name val="Arial Narrow"/>
      </font>
    </dxf>
    <dxf>
      <font>
        <name val="Arial Narrow"/>
      </font>
    </dxf>
    <dxf>
      <font>
        <name val="Arial Narrow"/>
      </font>
    </dxf>
    <dxf>
      <font>
        <name val="Arial Narrow"/>
      </font>
    </dxf>
    <dxf>
      <font>
        <name val="Arial Narrow"/>
      </font>
    </dxf>
    <dxf>
      <font>
        <name val="Arial Narrow"/>
      </font>
    </dxf>
    <dxf>
      <font>
        <name val="Arial Narrow"/>
      </font>
    </dxf>
    <dxf>
      <font>
        <name val="Arial Narrow"/>
      </font>
    </dxf>
    <dxf>
      <font>
        <name val="Arial Narrow"/>
      </font>
    </dxf>
    <dxf>
      <font>
        <name val="Arial Narrow"/>
      </font>
    </dxf>
    <dxf>
      <font>
        <name val="Arial Narrow"/>
      </font>
      <alignment horizontal="left" vertical="bottom" textRotation="0" wrapText="0" indent="0" justifyLastLine="0" shrinkToFit="0" readingOrder="0"/>
      <protection locked="0" hidden="0"/>
    </dxf>
    <dxf>
      <font>
        <name val="Arial Narrow"/>
      </font>
      <alignment horizontal="left" vertical="bottom" textRotation="0" wrapText="0" indent="0" justifyLastLine="0" shrinkToFit="0" readingOrder="0"/>
    </dxf>
    <dxf>
      <font>
        <name val="Arial Narrow"/>
      </font>
      <numFmt numFmtId="30" formatCode="@"/>
      <alignment horizontal="left" vertical="bottom" textRotation="0" wrapText="0" indent="0" justifyLastLine="0" shrinkToFit="0" readingOrder="0"/>
      <protection locked="0" hidden="0"/>
    </dxf>
    <dxf>
      <font>
        <name val="Arial Narrow"/>
      </font>
      <protection locked="0" hidden="0"/>
    </dxf>
    <dxf>
      <font>
        <name val="Arial Narrow"/>
      </font>
      <protection locked="0" hidden="0"/>
    </dxf>
    <dxf>
      <font>
        <name val="Arial Narrow"/>
      </font>
    </dxf>
    <dxf>
      <font>
        <name val="Arial Narrow"/>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3" Type="http://schemas.openxmlformats.org/officeDocument/2006/relationships/image" Target="../media/image1.png"/><Relationship Id="rId2" Type="http://schemas.microsoft.com/office/2011/relationships/chartColorStyle" Target="colors1.xml"/><Relationship Id="rId1" Type="http://schemas.microsoft.com/office/2011/relationships/chartStyle" Target="style1.xml"/><Relationship Id="rId4" Type="http://schemas.openxmlformats.org/officeDocument/2006/relationships/image" Target="../media/image2.png"/></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[banikt_07_T01_Week5_Bonus.xlsx]Cash Flow Diagram!CashFlowPivot</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Arial Narrow"/>
                <a:ea typeface="Arial Narrow"/>
                <a:cs typeface="Arial Narrow"/>
              </a:defRPr>
            </a:pPr>
            <a:r>
              <a:rPr lang="en-US"/>
              <a:t>Cash</a:t>
            </a:r>
            <a:r>
              <a:rPr lang="en-US" baseline="0"/>
              <a:t> Flow Diagram Template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Arial Narrow"/>
              <a:ea typeface="Arial Narrow"/>
              <a:cs typeface="Arial Narrow"/>
            </a:defRPr>
          </a:pPr>
          <a:endParaRPr lang="en-US"/>
        </a:p>
      </c:txPr>
    </c:title>
    <c:autoTitleDeleted val="0"/>
    <c:pivotFmts>
      <c:pivotFmt>
        <c:idx val="0"/>
        <c:spPr>
          <a:blipFill>
            <a:blip xmlns:r="http://schemas.openxmlformats.org/officeDocument/2006/relationships" r:embed="rId3"/>
            <a:stretch>
              <a:fillRect/>
            </a:stretch>
          </a:blip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blipFill>
            <a:blip xmlns:r="http://schemas.openxmlformats.org/officeDocument/2006/relationships" r:embed="rId4"/>
            <a:stretch>
              <a:fillRect/>
            </a:stretch>
          </a:blip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blipFill>
            <a:blip xmlns:r="http://schemas.openxmlformats.org/officeDocument/2006/relationships" r:embed="rId4"/>
            <a:stretch>
              <a:fillRect/>
            </a:stretch>
          </a:blipFill>
          <a:ln>
            <a:noFill/>
          </a:ln>
          <a:effectLst/>
        </c:spPr>
        <c:dLbl>
          <c:idx val="0"/>
          <c:layout>
            <c:manualLayout>
              <c:x val="0"/>
              <c:y val="-1.4019609791206995E-2"/>
            </c:manualLayout>
          </c:layout>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blipFill>
            <a:blip xmlns:r="http://schemas.openxmlformats.org/officeDocument/2006/relationships" r:embed="rId4"/>
            <a:stretch>
              <a:fillRect/>
            </a:stretch>
          </a:blipFill>
          <a:ln>
            <a:noFill/>
          </a:ln>
          <a:effectLst/>
        </c:spPr>
        <c:dLbl>
          <c:idx val="0"/>
          <c:layout>
            <c:manualLayout>
              <c:x val="0"/>
              <c:y val="-3.7385626109885772E-2"/>
            </c:manualLayout>
          </c:layout>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blipFill>
            <a:blip xmlns:r="http://schemas.openxmlformats.org/officeDocument/2006/relationships" r:embed="rId4"/>
            <a:stretch>
              <a:fillRect/>
            </a:stretch>
          </a:blipFill>
          <a:ln>
            <a:noFill/>
          </a:ln>
          <a:effectLst/>
        </c:spPr>
        <c:dLbl>
          <c:idx val="0"/>
          <c:layout>
            <c:manualLayout>
              <c:x val="0"/>
              <c:y val="-1.8692813054942886E-2"/>
            </c:manualLayout>
          </c:layout>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blipFill>
            <a:blip xmlns:r="http://schemas.openxmlformats.org/officeDocument/2006/relationships" r:embed="rId4"/>
            <a:stretch>
              <a:fillRect/>
            </a:stretch>
          </a:blipFill>
          <a:ln>
            <a:noFill/>
          </a:ln>
          <a:effectLst/>
        </c:spPr>
        <c:dLbl>
          <c:idx val="0"/>
          <c:layout>
            <c:manualLayout>
              <c:x val="0"/>
              <c:y val="3.6245462982611264E-7"/>
            </c:manualLayout>
          </c:layout>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blipFill>
            <a:blip xmlns:r="http://schemas.openxmlformats.org/officeDocument/2006/relationships" r:embed="rId4"/>
            <a:stretch>
              <a:fillRect/>
            </a:stretch>
          </a:blipFill>
          <a:ln>
            <a:noFill/>
          </a:ln>
          <a:effectLst/>
        </c:spPr>
        <c:dLbl>
          <c:idx val="0"/>
          <c:layout>
            <c:manualLayout>
              <c:x val="0"/>
              <c:y val="3.6245462982611264E-7"/>
            </c:manualLayout>
          </c:layout>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0434249210792546E-2"/>
          <c:y val="4.61037660003982E-2"/>
          <c:w val="0.93914246196403872"/>
          <c:h val="0.89860084407357499"/>
        </c:manualLayout>
      </c:layout>
      <c:barChart>
        <c:barDir val="col"/>
        <c:grouping val="clustered"/>
        <c:varyColors val="0"/>
        <c:ser>
          <c:idx val="0"/>
          <c:order val="0"/>
          <c:tx>
            <c:strRef>
              <c:f>'Cash Flow Diagram'!$B$1</c:f>
              <c:strCache>
                <c:ptCount val="1"/>
                <c:pt idx="0">
                  <c:v>Sum of Income</c:v>
                </c:pt>
              </c:strCache>
            </c:strRef>
          </c:tx>
          <c:spPr>
            <a:blipFill>
              <a:blip xmlns:r="http://schemas.openxmlformats.org/officeDocument/2006/relationships" r:embed="rId3"/>
              <a:stretch>
                <a:fillRect/>
              </a:stretch>
            </a:blipFill>
            <a:ln>
              <a:noFill/>
            </a:ln>
            <a:effectLst/>
          </c:spPr>
          <c:invertIfNegative val="0"/>
          <c:dLbls>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'Cash Flow Diagram'!$A$2:$A$11</c:f>
              <c:strCache>
                <c:ptCount val="9"/>
                <c:pt idx="0">
                  <c:v>1</c:v>
                </c:pt>
                <c:pt idx="1">
                  <c:v>2</c:v>
                </c:pt>
                <c:pt idx="2">
                  <c:v>3</c:v>
                </c:pt>
                <c:pt idx="3">
                  <c:v>4</c:v>
                </c:pt>
                <c:pt idx="4">
                  <c:v>5</c:v>
                </c:pt>
                <c:pt idx="5">
                  <c:v>6</c:v>
                </c:pt>
                <c:pt idx="6">
                  <c:v>7</c:v>
                </c:pt>
                <c:pt idx="7">
                  <c:v>8</c:v>
                </c:pt>
                <c:pt idx="8">
                  <c:v>(blank)</c:v>
                </c:pt>
              </c:strCache>
            </c:strRef>
          </c:cat>
          <c:val>
            <c:numRef>
              <c:f>'Cash Flow Diagram'!$B$2:$B$11</c:f>
              <c:numCache>
                <c:formatCode>General</c:formatCode>
                <c:ptCount val="9"/>
                <c:pt idx="0">
                  <c:v>6378</c:v>
                </c:pt>
                <c:pt idx="1">
                  <c:v>6578</c:v>
                </c:pt>
                <c:pt idx="2">
                  <c:v>6578</c:v>
                </c:pt>
                <c:pt idx="3">
                  <c:v>6578</c:v>
                </c:pt>
                <c:pt idx="4">
                  <c:v>6578</c:v>
                </c:pt>
                <c:pt idx="5">
                  <c:v>6578</c:v>
                </c:pt>
                <c:pt idx="6">
                  <c:v>6578</c:v>
                </c:pt>
                <c:pt idx="7">
                  <c:v>11078</c:v>
                </c:pt>
              </c:numCache>
            </c:numRef>
          </c:val>
          <c:extLst>
            <c:ext xmlns:c16="http://schemas.microsoft.com/office/drawing/2014/chart" uri="{C3380CC4-5D6E-409C-BE32-E72D297353CC}">
              <c16:uniqueId val="{00000000-865C-4C17-BE09-17573C516953}"/>
            </c:ext>
          </c:extLst>
        </c:ser>
        <c:ser>
          <c:idx val="1"/>
          <c:order val="1"/>
          <c:tx>
            <c:strRef>
              <c:f>'Cash Flow Diagram'!$C$1</c:f>
              <c:strCache>
                <c:ptCount val="1"/>
                <c:pt idx="0">
                  <c:v>Sum of Expenses</c:v>
                </c:pt>
              </c:strCache>
            </c:strRef>
          </c:tx>
          <c:spPr>
            <a:blipFill>
              <a:blip xmlns:r="http://schemas.openxmlformats.org/officeDocument/2006/relationships" r:embed="rId4"/>
              <a:stretch>
                <a:fillRect/>
              </a:stretch>
            </a:blipFill>
            <a:ln>
              <a:noFill/>
            </a:ln>
            <a:effectLst/>
          </c:spPr>
          <c:invertIfNegative val="0"/>
          <c:dPt>
            <c:idx val="0"/>
            <c:invertIfNegative val="0"/>
            <c:bubble3D val="0"/>
            <c:extLst>
              <c:ext xmlns:c16="http://schemas.microsoft.com/office/drawing/2014/chart" uri="{C3380CC4-5D6E-409C-BE32-E72D297353CC}">
                <c16:uniqueId val="{00000011-0041-425D-A8B3-1D953ECC64C5}"/>
              </c:ext>
            </c:extLst>
          </c:dPt>
          <c:dPt>
            <c:idx val="2"/>
            <c:invertIfNegative val="0"/>
            <c:bubble3D val="0"/>
            <c:extLst>
              <c:ext xmlns:c16="http://schemas.microsoft.com/office/drawing/2014/chart" uri="{C3380CC4-5D6E-409C-BE32-E72D297353CC}">
                <c16:uniqueId val="{00000005-865C-4C17-BE09-17573C516953}"/>
              </c:ext>
            </c:extLst>
          </c:dPt>
          <c:dPt>
            <c:idx val="3"/>
            <c:invertIfNegative val="0"/>
            <c:bubble3D val="0"/>
            <c:extLst>
              <c:ext xmlns:c16="http://schemas.microsoft.com/office/drawing/2014/chart" uri="{C3380CC4-5D6E-409C-BE32-E72D297353CC}">
                <c16:uniqueId val="{00000006-865C-4C17-BE09-17573C516953}"/>
              </c:ext>
            </c:extLst>
          </c:dPt>
          <c:dPt>
            <c:idx val="4"/>
            <c:invertIfNegative val="0"/>
            <c:bubble3D val="0"/>
            <c:extLst>
              <c:ext xmlns:c16="http://schemas.microsoft.com/office/drawing/2014/chart" uri="{C3380CC4-5D6E-409C-BE32-E72D297353CC}">
                <c16:uniqueId val="{00000007-865C-4C17-BE09-17573C516953}"/>
              </c:ext>
            </c:extLst>
          </c:dPt>
          <c:dLbls>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'Cash Flow Diagram'!$A$2:$A$11</c:f>
              <c:strCache>
                <c:ptCount val="9"/>
                <c:pt idx="0">
                  <c:v>1</c:v>
                </c:pt>
                <c:pt idx="1">
                  <c:v>2</c:v>
                </c:pt>
                <c:pt idx="2">
                  <c:v>3</c:v>
                </c:pt>
                <c:pt idx="3">
                  <c:v>4</c:v>
                </c:pt>
                <c:pt idx="4">
                  <c:v>5</c:v>
                </c:pt>
                <c:pt idx="5">
                  <c:v>6</c:v>
                </c:pt>
                <c:pt idx="6">
                  <c:v>7</c:v>
                </c:pt>
                <c:pt idx="7">
                  <c:v>8</c:v>
                </c:pt>
                <c:pt idx="8">
                  <c:v>(blank)</c:v>
                </c:pt>
              </c:strCache>
            </c:strRef>
          </c:cat>
          <c:val>
            <c:numRef>
              <c:f>'Cash Flow Diagram'!$C$2:$C$11</c:f>
              <c:numCache>
                <c:formatCode>General</c:formatCode>
                <c:ptCount val="9"/>
                <c:pt idx="0">
                  <c:v>-4087.98</c:v>
                </c:pt>
                <c:pt idx="1">
                  <c:v>-3837.98</c:v>
                </c:pt>
                <c:pt idx="2">
                  <c:v>-3837.98</c:v>
                </c:pt>
                <c:pt idx="3">
                  <c:v>-3837.98</c:v>
                </c:pt>
                <c:pt idx="4">
                  <c:v>-3887.98</c:v>
                </c:pt>
                <c:pt idx="5">
                  <c:v>-3837.98</c:v>
                </c:pt>
                <c:pt idx="6">
                  <c:v>-3837.98</c:v>
                </c:pt>
                <c:pt idx="7">
                  <c:v>-3837.98</c:v>
                </c:pt>
              </c:numCache>
            </c:numRef>
          </c:val>
          <c:extLst>
            <c:ext xmlns:c16="http://schemas.microsoft.com/office/drawing/2014/chart" uri="{C3380CC4-5D6E-409C-BE32-E72D297353CC}">
              <c16:uniqueId val="{00000002-865C-4C17-BE09-17573C516953}"/>
            </c:ext>
          </c:extLst>
        </c:ser>
        <c:dLbls>
          <c:dLblPos val="outEnd"/>
          <c:showLegendKey val="0"/>
          <c:showVal val="1"/>
          <c:showCatName val="0"/>
          <c:showSerName val="0"/>
          <c:showPercent val="0"/>
          <c:showBubbleSize val="0"/>
        </c:dLbls>
        <c:gapWidth val="203"/>
        <c:overlap val="100"/>
        <c:axId val="329648607"/>
        <c:axId val="329646207"/>
      </c:barChart>
      <c:catAx>
        <c:axId val="329648607"/>
        <c:scaling>
          <c:orientation val="minMax"/>
        </c:scaling>
        <c:delete val="0"/>
        <c:axPos val="b"/>
        <c:numFmt formatCode="General" sourceLinked="0"/>
        <c:majorTickMark val="none"/>
        <c:minorTickMark val="none"/>
        <c:tickLblPos val="nextTo"/>
        <c:spPr>
          <a:noFill/>
          <a:ln w="9525" cap="flat" cmpd="sng" algn="ctr">
            <a:solidFill>
              <a:schemeClr val="accent1">
                <a:shade val="15000"/>
              </a:schemeClr>
            </a:solidFill>
            <a:round/>
          </a:ln>
          <a:effectLst/>
        </c:spPr>
        <c:txPr>
          <a:bodyPr rot="0" spcFirstLastPara="1" vertOverflow="ellipsis" wrap="square" anchor="ctr" anchorCtr="0"/>
          <a:lstStyle/>
          <a:p>
            <a:pPr>
              <a:defRPr sz="800" b="0" i="0" u="none" strike="noStrike" kern="1200" baseline="0">
                <a:solidFill>
                  <a:schemeClr val="tx1">
                    <a:lumMod val="65000"/>
                    <a:lumOff val="35000"/>
                  </a:schemeClr>
                </a:solidFill>
                <a:latin typeface="+mn-lt"/>
                <a:ea typeface="+mn-ea"/>
                <a:cs typeface="+mn-cs"/>
              </a:defRPr>
            </a:pPr>
            <a:endParaRPr lang="en-US"/>
          </a:p>
        </c:txPr>
        <c:crossAx val="329646207"/>
        <c:crosses val="autoZero"/>
        <c:auto val="1"/>
        <c:lblAlgn val="ctr"/>
        <c:lblOffset val="1"/>
        <c:noMultiLvlLbl val="0"/>
      </c:catAx>
      <c:valAx>
        <c:axId val="329646207"/>
        <c:scaling>
          <c:orientation val="minMax"/>
        </c:scaling>
        <c:delete val="1"/>
        <c:axPos val="l"/>
        <c:numFmt formatCode="General" sourceLinked="1"/>
        <c:majorTickMark val="out"/>
        <c:minorTickMark val="none"/>
        <c:tickLblPos val="nextTo"/>
        <c:crossAx val="3296486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514977</xdr:colOff>
      <xdr:row>0</xdr:row>
      <xdr:rowOff>0</xdr:rowOff>
    </xdr:from>
    <xdr:to>
      <xdr:col>15</xdr:col>
      <xdr:colOff>480060</xdr:colOff>
      <xdr:row>20</xdr:row>
      <xdr:rowOff>45720</xdr:rowOff>
    </xdr:to>
    <xdr:graphicFrame macro="">
      <xdr:nvGraphicFramePr>
        <xdr:cNvPr id="2" name="CashFlowDiagram">
          <a:extLst>
            <a:ext uri="{FF2B5EF4-FFF2-40B4-BE49-F238E27FC236}">
              <a16:creationId xmlns:a16="http://schemas.microsoft.com/office/drawing/2014/main" id="{3322DE95-719E-98CA-28EB-D451ABDBCD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OWNER" refreshedDate="46055.944185879627" createdVersion="8" refreshedVersion="8" minRefreshableVersion="3" recordCount="16" xr:uid="{52E38DEE-8143-4817-97FC-60B3BCC0E1E4}">
  <cacheSource type="worksheet">
    <worksheetSource name="CashFlowsInput"/>
  </cacheSource>
  <cacheFields count="5">
    <cacheField name="Income" numFmtId="0">
      <sharedItems containsString="0" containsBlank="1" containsNumber="1" containsInteger="1" minValue="6378" maxValue="11078"/>
    </cacheField>
    <cacheField name="Expenses" numFmtId="0">
      <sharedItems containsString="0" containsBlank="1" containsNumber="1" minValue="-4087.98" maxValue="-3837.98"/>
    </cacheField>
    <cacheField name="Order" numFmtId="0">
      <sharedItems containsString="0" containsBlank="1" containsNumber="1" containsInteger="1" minValue="1" maxValue="8"/>
    </cacheField>
    <cacheField name="Personal Considerations" numFmtId="0">
      <sharedItems containsBlank="1"/>
    </cacheField>
    <cacheField name="Time Period" numFmtId="0">
      <sharedItems containsString="0" containsBlank="1" containsNumber="1" containsInteger="1" minValue="1" maxValue="24" count="25">
        <n v="1"/>
        <n v="2"/>
        <n v="3"/>
        <n v="4"/>
        <n v="5"/>
        <n v="6"/>
        <n v="7"/>
        <n v="8"/>
        <m/>
        <n v="9" u="1"/>
        <n v="10" u="1"/>
        <n v="11" u="1"/>
        <n v="12" u="1"/>
        <n v="13" u="1"/>
        <n v="14" u="1"/>
        <n v="15" u="1"/>
        <n v="16" u="1"/>
        <n v="17" u="1"/>
        <n v="18" u="1"/>
        <n v="19" u="1"/>
        <n v="20" u="1"/>
        <n v="21" u="1"/>
        <n v="22" u="1"/>
        <n v="23" u="1"/>
        <n v="24" u="1"/>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
  <r>
    <n v="6378"/>
    <n v="-4087.98"/>
    <n v="1"/>
    <s v="In-person Power Engineering role, internet activation fee, consistent monthly costs; Month 1 includes $200 sublet ad/screening cost"/>
    <x v="0"/>
  </r>
  <r>
    <n v="6578"/>
    <n v="-3837.98"/>
    <n v="2"/>
    <s v="Same as above, including expected sublet rental income"/>
    <x v="1"/>
  </r>
  <r>
    <n v="6578"/>
    <n v="-3837.98"/>
    <n v="3"/>
    <s v="Same as above"/>
    <x v="2"/>
  </r>
  <r>
    <n v="6578"/>
    <n v="-3837.98"/>
    <n v="4"/>
    <s v="Same as above"/>
    <x v="3"/>
  </r>
  <r>
    <n v="6578"/>
    <n v="-3887.98"/>
    <n v="5"/>
    <s v="Same as above"/>
    <x v="4"/>
  </r>
  <r>
    <n v="6578"/>
    <n v="-3837.98"/>
    <n v="6"/>
    <s v="Same as above"/>
    <x v="5"/>
  </r>
  <r>
    <n v="6578"/>
    <n v="-3837.98"/>
    <n v="7"/>
    <s v="Same as above"/>
    <x v="6"/>
  </r>
  <r>
    <n v="11078"/>
    <n v="-3837.98"/>
    <n v="8"/>
    <s v="Long-term industry &amp; Arctic experience benefit + $4,500, expected sublet rental income"/>
    <x v="7"/>
  </r>
  <r>
    <m/>
    <m/>
    <m/>
    <m/>
    <x v="8"/>
  </r>
  <r>
    <m/>
    <m/>
    <m/>
    <m/>
    <x v="8"/>
  </r>
  <r>
    <m/>
    <m/>
    <m/>
    <m/>
    <x v="8"/>
  </r>
  <r>
    <m/>
    <m/>
    <m/>
    <m/>
    <x v="8"/>
  </r>
  <r>
    <m/>
    <m/>
    <m/>
    <m/>
    <x v="8"/>
  </r>
  <r>
    <m/>
    <m/>
    <m/>
    <m/>
    <x v="8"/>
  </r>
  <r>
    <m/>
    <m/>
    <m/>
    <m/>
    <x v="8"/>
  </r>
  <r>
    <m/>
    <m/>
    <m/>
    <m/>
    <x v="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2B87921-26C7-41D3-A689-DA782E43CD16}" name="CashFlowPivot" cacheId="31" applyNumberFormats="0" applyBorderFormats="0" applyFontFormats="0" applyPatternFormats="0" applyAlignmentFormats="0" applyWidthHeightFormats="1" dataCaption="Values" updatedVersion="8" minRefreshableVersion="3" useAutoFormatting="1" itemPrintTitles="1" mergeItem="1" createdVersion="8" indent="0" outline="1" outlineData="1" multipleFieldFilters="0" chartFormat="13">
  <location ref="A1:C11" firstHeaderRow="0" firstDataRow="1" firstDataCol="1"/>
  <pivotFields count="5">
    <pivotField dataField="1" showAll="0"/>
    <pivotField dataField="1" showAll="0"/>
    <pivotField showAll="0"/>
    <pivotField showAll="0"/>
    <pivotField axis="axisRow" showAll="0" sortType="ascending">
      <items count="26">
        <item x="0"/>
        <item x="1"/>
        <item x="2"/>
        <item x="3"/>
        <item x="4"/>
        <item x="5"/>
        <item x="6"/>
        <item x="7"/>
        <item m="1" x="9"/>
        <item m="1" x="10"/>
        <item m="1" x="11"/>
        <item m="1" x="12"/>
        <item m="1" x="13"/>
        <item m="1" x="14"/>
        <item m="1" x="15"/>
        <item m="1" x="16"/>
        <item m="1" x="17"/>
        <item m="1" x="18"/>
        <item m="1" x="19"/>
        <item m="1" x="20"/>
        <item m="1" x="21"/>
        <item m="1" x="22"/>
        <item m="1" x="23"/>
        <item m="1" x="24"/>
        <item x="8"/>
        <item t="default"/>
      </items>
    </pivotField>
  </pivotFields>
  <rowFields count="1">
    <field x="4"/>
  </rowFields>
  <rowItems count="10">
    <i>
      <x/>
    </i>
    <i>
      <x v="1"/>
    </i>
    <i>
      <x v="2"/>
    </i>
    <i>
      <x v="3"/>
    </i>
    <i>
      <x v="4"/>
    </i>
    <i>
      <x v="5"/>
    </i>
    <i>
      <x v="6"/>
    </i>
    <i>
      <x v="7"/>
    </i>
    <i>
      <x v="24"/>
    </i>
    <i t="grand">
      <x/>
    </i>
  </rowItems>
  <colFields count="1">
    <field x="-2"/>
  </colFields>
  <colItems count="2">
    <i>
      <x/>
    </i>
    <i i="1">
      <x v="1"/>
    </i>
  </colItems>
  <dataFields count="2">
    <dataField name="Sum of Income" fld="0" baseField="0" baseItem="0"/>
    <dataField name="Sum of Expenses" fld="1" baseField="0" baseItem="0"/>
  </dataFields>
  <formats count="6">
    <format dxfId="26">
      <pivotArea type="all" dataOnly="0" outline="0" fieldPosition="0"/>
    </format>
    <format dxfId="25">
      <pivotArea outline="0" collapsedLevelsAreSubtotals="1" fieldPosition="0"/>
    </format>
    <format dxfId="24">
      <pivotArea field="4" type="button" dataOnly="0" labelOnly="1" outline="0" axis="axisRow" fieldPosition="0"/>
    </format>
    <format dxfId="23">
      <pivotArea dataOnly="0" labelOnly="1" fieldPosition="0">
        <references count="1">
          <reference field="4" count="0"/>
        </references>
      </pivotArea>
    </format>
    <format dxfId="22">
      <pivotArea dataOnly="0" labelOnly="1" grandRow="1" outline="0" fieldPosition="0"/>
    </format>
    <format dxfId="21">
      <pivotArea dataOnly="0" labelOnly="1" outline="0" fieldPosition="0">
        <references count="1">
          <reference field="4294967294" count="2">
            <x v="0"/>
            <x v="1"/>
          </reference>
        </references>
      </pivotArea>
    </format>
  </format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 format="7" series="1">
      <pivotArea type="data" outline="0" fieldPosition="0">
        <references count="1">
          <reference field="4294967294" count="1" selected="0">
            <x v="0"/>
          </reference>
        </references>
      </pivotArea>
    </chartFormat>
    <chartFormat chart="1" format="8" series="1">
      <pivotArea type="data" outline="0" fieldPosition="0">
        <references count="1">
          <reference field="4294967294" count="1" selected="0">
            <x v="1"/>
          </reference>
        </references>
      </pivotArea>
    </chartFormat>
    <chartFormat chart="11" format="9" series="1">
      <pivotArea type="data" outline="0" fieldPosition="0">
        <references count="1">
          <reference field="4294967294" count="1" selected="0">
            <x v="0"/>
          </reference>
        </references>
      </pivotArea>
    </chartFormat>
    <chartFormat chart="11" format="10" series="1">
      <pivotArea type="data" outline="0" fieldPosition="0">
        <references count="1">
          <reference field="4294967294" count="1" selected="0">
            <x v="1"/>
          </reference>
        </references>
      </pivotArea>
    </chartFormat>
    <chartFormat chart="12" format="11" series="1">
      <pivotArea type="data" outline="0" fieldPosition="0">
        <references count="1">
          <reference field="4294967294" count="1" selected="0">
            <x v="0"/>
          </reference>
        </references>
      </pivotArea>
    </chartFormat>
    <chartFormat chart="12" format="12"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CCD76D3-E64A-414E-844C-4F54ED693645}" name="CashFlowsInput" displayName="CashFlowsInput" ref="A1:E17" totalsRowShown="0" headerRowDxfId="33" dataDxfId="32">
  <autoFilter ref="A1:E17" xr:uid="{5CCD76D3-E64A-414E-844C-4F54ED693645}"/>
  <sortState xmlns:xlrd2="http://schemas.microsoft.com/office/spreadsheetml/2017/richdata2" ref="A2:E17">
    <sortCondition ref="C1:C17"/>
  </sortState>
  <tableColumns count="5">
    <tableColumn id="1" xr3:uid="{455A84AB-00D3-409F-9EFF-952A8F37F8AB}" name="Income" dataDxfId="31" dataCellStyle="Currency"/>
    <tableColumn id="2" xr3:uid="{17558EE1-C441-4BC1-90D6-854DB507BCA9}" name="Expenses" dataDxfId="30" dataCellStyle="Currency"/>
    <tableColumn id="3" xr3:uid="{9258450A-10C8-494B-8731-ECDE83112060}" name="Order" dataDxfId="29"/>
    <tableColumn id="6" xr3:uid="{42794C45-6BB4-CA4A-9F50-43A38B09FC16}" name="Personal Considerations" dataDxfId="28"/>
    <tableColumn id="4" xr3:uid="{3D20B346-AE99-42BF-AF4A-2E78EDCD8F0A}" name="Time Period" dataDxfId="27"/>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C3C2C9B-1527-4AA4-848B-9751E9948743}" name="Table5" displayName="Table5" ref="A3:E4" totalsRowShown="0">
  <autoFilter ref="A3:E4" xr:uid="{5C3C2C9B-1527-4AA4-848B-9751E9948743}"/>
  <tableColumns count="5">
    <tableColumn id="1" xr3:uid="{5F06856F-B3E1-420F-8818-FF0E0CB6D4C1}" name="Income" dataCellStyle="Currency"/>
    <tableColumn id="2" xr3:uid="{627C1500-A2E5-4EAC-912F-2F075FEFA8E4}" name="Expenses"/>
    <tableColumn id="3" xr3:uid="{A9D24073-0D6B-472A-B9FF-EBA39B655899}" name="Order"/>
    <tableColumn id="4" xr3:uid="{5A3F80B6-0413-43A8-BC8D-D406091A44BA}" name="Personal Considerations"/>
    <tableColumn id="5" xr3:uid="{F0772231-84B8-408F-8D7A-8AC715F0D3EA}" name="Time Period"/>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A156E00F-5700-4D09-AB9B-5D10F23A6341}" name="Table6" displayName="Table6" ref="A3:E4" totalsRowShown="0">
  <autoFilter ref="A3:E4" xr:uid="{A156E00F-5700-4D09-AB9B-5D10F23A6341}"/>
  <tableColumns count="5">
    <tableColumn id="1" xr3:uid="{56A40B06-E02F-477E-95C5-909527EE3CF1}" name="Income"/>
    <tableColumn id="2" xr3:uid="{0E65061F-850A-4D8B-AAEE-ED200DC2078B}" name="Expenses"/>
    <tableColumn id="3" xr3:uid="{CB4600AA-DC39-480A-B9E3-37FB0AAB4477}" name="Order"/>
    <tableColumn id="4" xr3:uid="{097AABF9-C9D9-4365-9277-D6C83E199396}" name="Personal Considerations"/>
    <tableColumn id="5" xr3:uid="{DC716C92-BB3E-4A0A-9F18-C57461951ED8}" name="Time Period"/>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F58E192-50EC-48EE-A75D-204C78A94A9C}" name="Table7" displayName="Table7" ref="A3:E4" totalsRowShown="0">
  <autoFilter ref="A3:E4" xr:uid="{FF58E192-50EC-48EE-A75D-204C78A94A9C}"/>
  <tableColumns count="5">
    <tableColumn id="1" xr3:uid="{9A72ED7D-85BB-43FC-A800-498C1F927835}" name="Income"/>
    <tableColumn id="2" xr3:uid="{CDCEE517-FF18-4D36-8FAE-0BE9756A71A4}" name="Expenses"/>
    <tableColumn id="3" xr3:uid="{F3371E00-AFBD-4D7E-A021-35256EB43D23}" name="Order"/>
    <tableColumn id="4" xr3:uid="{5AD3D590-9D41-424F-9FD2-CE9376053A56}" name="Personal Considerations"/>
    <tableColumn id="5" xr3:uid="{8024B778-CB5C-4FC2-B96D-295E68B151A8}" name="Time Period"/>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747CA95B-CA5D-4D8B-9FF6-67B904163A94}" name="Table8" displayName="Table8" ref="A3:E4" totalsRowShown="0">
  <autoFilter ref="A3:E4" xr:uid="{747CA95B-CA5D-4D8B-9FF6-67B904163A94}"/>
  <tableColumns count="5">
    <tableColumn id="1" xr3:uid="{7AB0E7B6-F030-499C-A8E0-385B6DE2ECB6}" name="Income"/>
    <tableColumn id="2" xr3:uid="{0BF48A80-1D97-462A-A612-ED7C5432AA38}" name="Expenses"/>
    <tableColumn id="3" xr3:uid="{1ADF4B11-0AC7-4B0C-915E-B2C6FF873EBD}" name="Order"/>
    <tableColumn id="4" xr3:uid="{E4DAF8A6-1BBC-4376-92ED-85DCCFE3CEB4}" name="Personal Considerations"/>
    <tableColumn id="5" xr3:uid="{DC12D98F-661B-4697-9B78-AA94AB07B442}" name="Time Period"/>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1C3C23E-664E-4D28-9666-8416FF8DEE13}" name="PresentWorth" displayName="PresentWorth" ref="A1:F25" totalsRowShown="0" headerRowDxfId="8" dataDxfId="7" tableBorderDxfId="6">
  <autoFilter ref="A1:F25" xr:uid="{71C3C23E-664E-4D28-9666-8416FF8DEE13}"/>
  <tableColumns count="6">
    <tableColumn id="1" xr3:uid="{5DFCEA7D-5A12-4762-A615-7A4489B67D60}" name="Inflow Future Value" dataDxfId="5"/>
    <tableColumn id="2" xr3:uid="{5D0AEE3E-8EBB-481E-B830-A1F45EAAC81D}" name="Outflow Future Value" dataDxfId="4"/>
    <tableColumn id="3" xr3:uid="{74F9AD2C-B28F-4C44-B678-9F4D9350388B}" name="Interest Rate" dataDxfId="3"/>
    <tableColumn id="4" xr3:uid="{6777F58F-C069-42F7-8002-C6A6C776F7A9}" name="Time" dataDxfId="2"/>
    <tableColumn id="5" xr3:uid="{0E3EBB65-1133-4589-8A95-1D58CCFE3696}" name="Inflow PW" dataDxfId="1"/>
    <tableColumn id="6" xr3:uid="{31781CFC-4AF1-4A40-9066-D58329BE5246}" name="Outflow PW" dataDxfId="0"/>
  </tableColumns>
  <tableStyleInfo name="TableStyleLight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6FAC90F-96EF-46F2-82BD-284626AAEC86}" name="ExtraTable" displayName="ExtraTable" ref="A1:D25" totalsRowShown="0" headerRowDxfId="20" dataDxfId="19">
  <autoFilter ref="A1:D25" xr:uid="{D6FAC90F-96EF-46F2-82BD-284626AAEC86}"/>
  <tableColumns count="4">
    <tableColumn id="1" xr3:uid="{8C554CD9-1AE9-4AE6-9392-F085F4C4C720}" name="Income" dataDxfId="18"/>
    <tableColumn id="2" xr3:uid="{BE052D2A-1743-42F7-95D0-D9D56BB72F10}" name="Expenses" dataDxfId="17"/>
    <tableColumn id="3" xr3:uid="{2F124008-1BEB-441E-9EE1-4530C6333D6C}" name="Order" dataDxfId="16"/>
    <tableColumn id="4" xr3:uid="{3D1C2A57-6391-4888-9804-FD65934E4E1C}" name="Time" dataDxfId="15"/>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6">
    <wetp:webextensionref xmlns:r="http://schemas.openxmlformats.org/officeDocument/2006/relationships" r:id="rId1"/>
  </wetp:taskpane>
</wetp:taskpanes>
</file>

<file path=xl/webextensions/webextension1.xml><?xml version="1.0" encoding="utf-8"?>
<we:webextension xmlns:we="http://schemas.microsoft.com/office/webextensions/webextension/2010/11" id="{2758E0FC-BD01-4D26-93AE-8A4A8EA88588}">
  <we:reference id="wa200000113" version="1.0.0.0" store="en-CA" storeType="OMEX"/>
  <we:alternateReferences>
    <we:reference id="WA200000113" version="1.0.0.0" store="" storeType="OMEX"/>
  </we:alternateReferences>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5DD0AA-13D1-4D93-8B1D-D33FBA010A51}">
  <dimension ref="A1:G31"/>
  <sheetViews>
    <sheetView tabSelected="1" topLeftCell="A3" zoomScale="102" zoomScaleNormal="102" workbookViewId="0">
      <selection activeCell="D36" sqref="D36"/>
    </sheetView>
  </sheetViews>
  <sheetFormatPr defaultColWidth="8.88671875" defaultRowHeight="13.8" x14ac:dyDescent="0.25"/>
  <cols>
    <col min="1" max="1" width="12.109375" style="8" bestFit="1" customWidth="1"/>
    <col min="2" max="2" width="13.88671875" style="8" customWidth="1"/>
    <col min="3" max="3" width="11" style="9" bestFit="1" customWidth="1"/>
    <col min="4" max="4" width="113.33203125" style="9" bestFit="1" customWidth="1"/>
    <col min="5" max="5" width="13.5546875" style="8" customWidth="1"/>
    <col min="6" max="6" width="8.88671875" style="12"/>
    <col min="7" max="7" width="138.33203125" style="11" bestFit="1" customWidth="1"/>
    <col min="8" max="9" width="8.88671875" style="11"/>
    <col min="10" max="10" width="12.44140625" style="11" bestFit="1" customWidth="1"/>
    <col min="11" max="11" width="13.6640625" style="11" bestFit="1" customWidth="1"/>
    <col min="12" max="12" width="15.44140625" style="11" bestFit="1" customWidth="1"/>
    <col min="13" max="16384" width="8.88671875" style="11"/>
  </cols>
  <sheetData>
    <row r="1" spans="1:7" x14ac:dyDescent="0.25">
      <c r="A1" s="8" t="s">
        <v>0</v>
      </c>
      <c r="B1" s="8" t="s">
        <v>1</v>
      </c>
      <c r="C1" s="9" t="s">
        <v>2</v>
      </c>
      <c r="D1" s="9" t="s">
        <v>3</v>
      </c>
      <c r="E1" s="10" t="s">
        <v>4</v>
      </c>
      <c r="F1" s="11"/>
    </row>
    <row r="2" spans="1:7" ht="14.4" x14ac:dyDescent="0.3">
      <c r="A2" s="20">
        <f>C19+C20</f>
        <v>6378</v>
      </c>
      <c r="B2" s="20">
        <f>C25+C23</f>
        <v>-4087.98</v>
      </c>
      <c r="C2" s="10">
        <v>1</v>
      </c>
      <c r="D2" t="s">
        <v>47</v>
      </c>
      <c r="E2" s="10">
        <v>1</v>
      </c>
      <c r="F2" s="11"/>
    </row>
    <row r="3" spans="1:7" ht="14.4" x14ac:dyDescent="0.3">
      <c r="A3" s="20">
        <f>C19+C21</f>
        <v>6578</v>
      </c>
      <c r="B3" s="20">
        <f>C26+C24</f>
        <v>-3837.98</v>
      </c>
      <c r="C3" s="10">
        <v>2</v>
      </c>
      <c r="D3" s="12" t="s">
        <v>48</v>
      </c>
      <c r="E3" s="10">
        <v>2</v>
      </c>
      <c r="F3" s="11"/>
    </row>
    <row r="4" spans="1:7" ht="14.4" x14ac:dyDescent="0.3">
      <c r="A4" s="20">
        <f>C19+C21</f>
        <v>6578</v>
      </c>
      <c r="B4" s="20">
        <f>C26+C24</f>
        <v>-3837.98</v>
      </c>
      <c r="C4" s="10">
        <v>3</v>
      </c>
      <c r="D4" s="12" t="s">
        <v>15</v>
      </c>
      <c r="E4" s="10">
        <v>3</v>
      </c>
      <c r="F4" s="11"/>
      <c r="G4" s="37" t="s">
        <v>27</v>
      </c>
    </row>
    <row r="5" spans="1:7" ht="14.4" x14ac:dyDescent="0.3">
      <c r="A5" s="20">
        <f>C19+C21</f>
        <v>6578</v>
      </c>
      <c r="B5" s="20">
        <f>C26+C24</f>
        <v>-3837.98</v>
      </c>
      <c r="C5" s="10">
        <v>4</v>
      </c>
      <c r="D5" s="12" t="s">
        <v>15</v>
      </c>
      <c r="E5" s="10">
        <v>4</v>
      </c>
      <c r="F5" s="11"/>
      <c r="G5" s="38" t="s">
        <v>28</v>
      </c>
    </row>
    <row r="6" spans="1:7" ht="14.4" x14ac:dyDescent="0.3">
      <c r="A6" s="20">
        <f>C19+C21</f>
        <v>6578</v>
      </c>
      <c r="B6" s="20">
        <f>C27+C24</f>
        <v>-3887.98</v>
      </c>
      <c r="C6" s="10">
        <v>5</v>
      </c>
      <c r="D6" s="12" t="s">
        <v>15</v>
      </c>
      <c r="E6" s="10">
        <v>5</v>
      </c>
      <c r="F6" s="11"/>
      <c r="G6" s="38" t="s">
        <v>29</v>
      </c>
    </row>
    <row r="7" spans="1:7" ht="14.4" x14ac:dyDescent="0.3">
      <c r="A7" s="20">
        <f>C19+C21</f>
        <v>6578</v>
      </c>
      <c r="B7" s="20">
        <f>C28+C24</f>
        <v>-3837.98</v>
      </c>
      <c r="C7" s="10">
        <v>6</v>
      </c>
      <c r="D7" s="12" t="s">
        <v>15</v>
      </c>
      <c r="E7" s="10">
        <v>6</v>
      </c>
      <c r="F7" s="11"/>
      <c r="G7" s="38"/>
    </row>
    <row r="8" spans="1:7" ht="14.4" x14ac:dyDescent="0.3">
      <c r="A8" s="20">
        <f>C19+C21</f>
        <v>6578</v>
      </c>
      <c r="B8" s="20">
        <f>C28+C24</f>
        <v>-3837.98</v>
      </c>
      <c r="C8" s="10">
        <v>7</v>
      </c>
      <c r="D8" s="12" t="s">
        <v>15</v>
      </c>
      <c r="E8" s="10">
        <v>7</v>
      </c>
      <c r="F8" s="11"/>
      <c r="G8" s="17" t="s">
        <v>30</v>
      </c>
    </row>
    <row r="9" spans="1:7" ht="14.4" x14ac:dyDescent="0.3">
      <c r="A9" s="20">
        <f>C19+C21+C22</f>
        <v>11078</v>
      </c>
      <c r="B9" s="20">
        <f>C28+C24</f>
        <v>-3837.98</v>
      </c>
      <c r="C9" s="10">
        <v>8</v>
      </c>
      <c r="D9" t="s">
        <v>49</v>
      </c>
      <c r="E9" s="10">
        <v>8</v>
      </c>
      <c r="F9" s="11"/>
      <c r="G9" s="11" t="s">
        <v>31</v>
      </c>
    </row>
    <row r="10" spans="1:7" x14ac:dyDescent="0.25">
      <c r="F10" s="11"/>
    </row>
    <row r="11" spans="1:7" x14ac:dyDescent="0.25">
      <c r="F11" s="11"/>
      <c r="G11" s="37" t="s">
        <v>32</v>
      </c>
    </row>
    <row r="12" spans="1:7" x14ac:dyDescent="0.25">
      <c r="F12" s="11"/>
      <c r="G12" s="38" t="s">
        <v>33</v>
      </c>
    </row>
    <row r="13" spans="1:7" x14ac:dyDescent="0.25">
      <c r="F13" s="11"/>
    </row>
    <row r="14" spans="1:7" x14ac:dyDescent="0.25">
      <c r="F14" s="11"/>
      <c r="G14" s="17" t="s">
        <v>34</v>
      </c>
    </row>
    <row r="15" spans="1:7" x14ac:dyDescent="0.25">
      <c r="F15" s="11"/>
      <c r="G15" s="38" t="s">
        <v>35</v>
      </c>
    </row>
    <row r="16" spans="1:7" x14ac:dyDescent="0.25">
      <c r="F16" s="11"/>
      <c r="G16" s="38" t="s">
        <v>36</v>
      </c>
    </row>
    <row r="17" spans="1:7" x14ac:dyDescent="0.25">
      <c r="F17" s="11"/>
    </row>
    <row r="18" spans="1:7" ht="14.4" x14ac:dyDescent="0.25">
      <c r="A18" s="22"/>
      <c r="F18" s="11"/>
      <c r="G18" s="36"/>
    </row>
    <row r="19" spans="1:7" ht="14.4" x14ac:dyDescent="0.3">
      <c r="A19" s="8" t="s">
        <v>37</v>
      </c>
      <c r="C19" s="39">
        <v>6083</v>
      </c>
      <c r="F19" s="11"/>
    </row>
    <row r="20" spans="1:7" ht="14.4" x14ac:dyDescent="0.3">
      <c r="A20" s="8" t="s">
        <v>38</v>
      </c>
      <c r="C20" s="39">
        <v>295</v>
      </c>
    </row>
    <row r="21" spans="1:7" ht="14.4" x14ac:dyDescent="0.3">
      <c r="A21" s="8" t="s">
        <v>39</v>
      </c>
      <c r="C21" s="39">
        <v>495</v>
      </c>
    </row>
    <row r="22" spans="1:7" ht="14.4" x14ac:dyDescent="0.3">
      <c r="A22" s="8" t="s">
        <v>40</v>
      </c>
      <c r="C22" s="39">
        <v>4500</v>
      </c>
    </row>
    <row r="23" spans="1:7" ht="14.4" x14ac:dyDescent="0.3">
      <c r="A23" s="8" t="s">
        <v>41</v>
      </c>
      <c r="C23" s="39">
        <v>-200</v>
      </c>
    </row>
    <row r="24" spans="1:7" ht="14.4" x14ac:dyDescent="0.3">
      <c r="A24" s="8" t="s">
        <v>42</v>
      </c>
      <c r="C24" s="39">
        <v>0</v>
      </c>
    </row>
    <row r="25" spans="1:7" ht="14.4" x14ac:dyDescent="0.3">
      <c r="A25" s="8" t="s">
        <v>43</v>
      </c>
      <c r="C25" s="39">
        <v>-3887.98</v>
      </c>
    </row>
    <row r="26" spans="1:7" ht="14.4" x14ac:dyDescent="0.3">
      <c r="A26" s="8" t="s">
        <v>44</v>
      </c>
      <c r="C26" s="39">
        <v>-3837.98</v>
      </c>
    </row>
    <row r="27" spans="1:7" ht="14.4" x14ac:dyDescent="0.3">
      <c r="A27" s="8" t="s">
        <v>45</v>
      </c>
      <c r="C27" s="39">
        <v>-3887.98</v>
      </c>
    </row>
    <row r="28" spans="1:7" ht="14.4" x14ac:dyDescent="0.3">
      <c r="A28" s="8" t="s">
        <v>46</v>
      </c>
      <c r="C28" s="39">
        <v>-3837.98</v>
      </c>
    </row>
    <row r="30" spans="1:7" x14ac:dyDescent="0.25">
      <c r="A30" s="8" t="s">
        <v>19</v>
      </c>
    </row>
    <row r="31" spans="1:7" x14ac:dyDescent="0.25">
      <c r="A31" s="8" t="s">
        <v>21</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D9BB8B-DA18-4381-B458-23FF07DDBFF8}">
  <dimension ref="A1:E5"/>
  <sheetViews>
    <sheetView workbookViewId="0">
      <selection activeCell="A4" sqref="A4"/>
    </sheetView>
  </sheetViews>
  <sheetFormatPr defaultRowHeight="14.4" x14ac:dyDescent="0.3"/>
  <cols>
    <col min="1" max="1" width="10.44140625" bestFit="1" customWidth="1"/>
    <col min="2" max="2" width="11" bestFit="1" customWidth="1"/>
    <col min="3" max="3" width="9" bestFit="1" customWidth="1"/>
    <col min="4" max="4" width="23.6640625" bestFit="1" customWidth="1"/>
    <col min="5" max="5" width="13.109375" bestFit="1" customWidth="1"/>
  </cols>
  <sheetData>
    <row r="1" spans="1:5" x14ac:dyDescent="0.3">
      <c r="A1" s="21" t="s">
        <v>16</v>
      </c>
    </row>
    <row r="3" spans="1:5" x14ac:dyDescent="0.3">
      <c r="A3" t="s">
        <v>0</v>
      </c>
      <c r="B3" t="s">
        <v>1</v>
      </c>
      <c r="C3" t="s">
        <v>2</v>
      </c>
      <c r="D3" t="s">
        <v>3</v>
      </c>
      <c r="E3" t="s">
        <v>4</v>
      </c>
    </row>
    <row r="4" spans="1:5" x14ac:dyDescent="0.3">
      <c r="A4" s="20">
        <v>4301.55</v>
      </c>
      <c r="C4">
        <v>1</v>
      </c>
      <c r="E4">
        <v>1</v>
      </c>
    </row>
    <row r="5" spans="1:5" x14ac:dyDescent="0.3">
      <c r="A5" s="20"/>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7A207D-D720-4D1F-9AEB-69D9430DBC9D}">
  <dimension ref="A1:E4"/>
  <sheetViews>
    <sheetView workbookViewId="0">
      <selection activeCell="A3" sqref="A3:E4"/>
    </sheetView>
  </sheetViews>
  <sheetFormatPr defaultRowHeight="14.4" x14ac:dyDescent="0.3"/>
  <cols>
    <col min="1" max="1" width="9.44140625" bestFit="1" customWidth="1"/>
    <col min="2" max="2" width="11" bestFit="1" customWidth="1"/>
    <col min="3" max="3" width="9" bestFit="1" customWidth="1"/>
    <col min="4" max="4" width="23.6640625" bestFit="1" customWidth="1"/>
    <col min="5" max="5" width="13.109375" bestFit="1" customWidth="1"/>
  </cols>
  <sheetData>
    <row r="1" spans="1:5" x14ac:dyDescent="0.3">
      <c r="A1" s="21" t="s">
        <v>17</v>
      </c>
    </row>
    <row r="3" spans="1:5" x14ac:dyDescent="0.3">
      <c r="A3" t="s">
        <v>0</v>
      </c>
      <c r="B3" t="s">
        <v>1</v>
      </c>
      <c r="C3" t="s">
        <v>2</v>
      </c>
      <c r="D3" t="s">
        <v>3</v>
      </c>
      <c r="E3" t="s">
        <v>4</v>
      </c>
    </row>
    <row r="4" spans="1:5" x14ac:dyDescent="0.3">
      <c r="C4">
        <v>1</v>
      </c>
      <c r="E4">
        <v>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D01876-05DB-461A-B2B8-1111FD37EA2C}">
  <dimension ref="A1:E4"/>
  <sheetViews>
    <sheetView workbookViewId="0">
      <selection activeCell="B8" sqref="B8"/>
    </sheetView>
  </sheetViews>
  <sheetFormatPr defaultRowHeight="14.4" x14ac:dyDescent="0.3"/>
  <cols>
    <col min="1" max="1" width="9.44140625" bestFit="1" customWidth="1"/>
    <col min="2" max="2" width="11" bestFit="1" customWidth="1"/>
    <col min="3" max="3" width="9" bestFit="1" customWidth="1"/>
    <col min="4" max="4" width="23.6640625" bestFit="1" customWidth="1"/>
    <col min="5" max="5" width="13.109375" bestFit="1" customWidth="1"/>
  </cols>
  <sheetData>
    <row r="1" spans="1:5" x14ac:dyDescent="0.3">
      <c r="A1" s="21" t="s">
        <v>16</v>
      </c>
    </row>
    <row r="3" spans="1:5" x14ac:dyDescent="0.3">
      <c r="A3" t="s">
        <v>0</v>
      </c>
      <c r="B3" t="s">
        <v>1</v>
      </c>
      <c r="C3" t="s">
        <v>2</v>
      </c>
      <c r="D3" t="s">
        <v>3</v>
      </c>
      <c r="E3" t="s">
        <v>4</v>
      </c>
    </row>
    <row r="4" spans="1:5" x14ac:dyDescent="0.3">
      <c r="C4">
        <v>1</v>
      </c>
      <c r="E4">
        <v>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0D4DC8-38CE-4695-9158-821E458CC49B}">
  <dimension ref="A1:E4"/>
  <sheetViews>
    <sheetView workbookViewId="0">
      <selection activeCell="A3" sqref="A3:E4"/>
    </sheetView>
  </sheetViews>
  <sheetFormatPr defaultRowHeight="14.4" x14ac:dyDescent="0.3"/>
  <cols>
    <col min="1" max="1" width="9.44140625" bestFit="1" customWidth="1"/>
    <col min="2" max="2" width="11" bestFit="1" customWidth="1"/>
    <col min="3" max="3" width="9" bestFit="1" customWidth="1"/>
    <col min="4" max="4" width="23.6640625" bestFit="1" customWidth="1"/>
    <col min="5" max="5" width="13.109375" bestFit="1" customWidth="1"/>
  </cols>
  <sheetData>
    <row r="1" spans="1:5" x14ac:dyDescent="0.3">
      <c r="A1" s="21" t="s">
        <v>18</v>
      </c>
    </row>
    <row r="3" spans="1:5" x14ac:dyDescent="0.3">
      <c r="A3" t="s">
        <v>0</v>
      </c>
      <c r="B3" t="s">
        <v>1</v>
      </c>
      <c r="C3" t="s">
        <v>2</v>
      </c>
      <c r="D3" t="s">
        <v>3</v>
      </c>
      <c r="E3" t="s">
        <v>4</v>
      </c>
    </row>
    <row r="4" spans="1:5" x14ac:dyDescent="0.3">
      <c r="C4">
        <v>16</v>
      </c>
      <c r="E4">
        <v>16</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D6B376-C413-4EE8-B344-5B0FF20B5EC4}">
  <dimension ref="A1:E80"/>
  <sheetViews>
    <sheetView zoomScaleNormal="100" workbookViewId="0">
      <selection activeCell="C16" sqref="C16"/>
    </sheetView>
  </sheetViews>
  <sheetFormatPr defaultColWidth="8.88671875" defaultRowHeight="13.8" x14ac:dyDescent="0.25"/>
  <cols>
    <col min="1" max="1" width="14.21875" style="11" bestFit="1" customWidth="1"/>
    <col min="2" max="2" width="12.33203125" style="11" bestFit="1" customWidth="1"/>
    <col min="3" max="3" width="14.33203125" style="11" bestFit="1" customWidth="1"/>
    <col min="4" max="12" width="8.88671875" style="11"/>
    <col min="13" max="13" width="25" style="11" customWidth="1"/>
    <col min="14" max="16384" width="8.88671875" style="11"/>
  </cols>
  <sheetData>
    <row r="1" spans="1:3" x14ac:dyDescent="0.25">
      <c r="A1" s="18" t="s">
        <v>5</v>
      </c>
      <c r="B1" s="19" t="s">
        <v>6</v>
      </c>
      <c r="C1" s="19" t="s">
        <v>7</v>
      </c>
    </row>
    <row r="2" spans="1:3" x14ac:dyDescent="0.25">
      <c r="A2" s="12">
        <v>1</v>
      </c>
      <c r="B2" s="34">
        <v>6378</v>
      </c>
      <c r="C2" s="34">
        <v>-4087.98</v>
      </c>
    </row>
    <row r="3" spans="1:3" x14ac:dyDescent="0.25">
      <c r="A3" s="12">
        <v>2</v>
      </c>
      <c r="B3" s="34">
        <v>6578</v>
      </c>
      <c r="C3" s="34">
        <v>-3837.98</v>
      </c>
    </row>
    <row r="4" spans="1:3" x14ac:dyDescent="0.25">
      <c r="A4" s="12">
        <v>3</v>
      </c>
      <c r="B4" s="34">
        <v>6578</v>
      </c>
      <c r="C4" s="34">
        <v>-3837.98</v>
      </c>
    </row>
    <row r="5" spans="1:3" x14ac:dyDescent="0.25">
      <c r="A5" s="12">
        <v>4</v>
      </c>
      <c r="B5" s="34">
        <v>6578</v>
      </c>
      <c r="C5" s="34">
        <v>-3837.98</v>
      </c>
    </row>
    <row r="6" spans="1:3" x14ac:dyDescent="0.25">
      <c r="A6" s="12">
        <v>5</v>
      </c>
      <c r="B6" s="34">
        <v>6578</v>
      </c>
      <c r="C6" s="34">
        <v>-3887.98</v>
      </c>
    </row>
    <row r="7" spans="1:3" x14ac:dyDescent="0.25">
      <c r="A7" s="12">
        <v>6</v>
      </c>
      <c r="B7" s="34">
        <v>6578</v>
      </c>
      <c r="C7" s="34">
        <v>-3837.98</v>
      </c>
    </row>
    <row r="8" spans="1:3" x14ac:dyDescent="0.25">
      <c r="A8" s="12">
        <v>7</v>
      </c>
      <c r="B8" s="34">
        <v>6578</v>
      </c>
      <c r="C8" s="34">
        <v>-3837.98</v>
      </c>
    </row>
    <row r="9" spans="1:3" x14ac:dyDescent="0.25">
      <c r="A9" s="12">
        <v>8</v>
      </c>
      <c r="B9" s="34">
        <v>11078</v>
      </c>
      <c r="C9" s="34">
        <v>-3837.98</v>
      </c>
    </row>
    <row r="10" spans="1:3" x14ac:dyDescent="0.25">
      <c r="A10" s="12" t="s">
        <v>20</v>
      </c>
      <c r="B10" s="34"/>
      <c r="C10" s="34"/>
    </row>
    <row r="11" spans="1:3" x14ac:dyDescent="0.25">
      <c r="A11" s="12" t="s">
        <v>8</v>
      </c>
      <c r="B11" s="34">
        <v>56924</v>
      </c>
      <c r="C11" s="34">
        <v>-31003.84</v>
      </c>
    </row>
    <row r="12" spans="1:3" ht="14.4" x14ac:dyDescent="0.3">
      <c r="A12"/>
      <c r="B12"/>
      <c r="C12"/>
    </row>
    <row r="13" spans="1:3" ht="14.4" x14ac:dyDescent="0.3">
      <c r="A13"/>
      <c r="B13"/>
      <c r="C13"/>
    </row>
    <row r="14" spans="1:3" ht="14.4" x14ac:dyDescent="0.3">
      <c r="A14"/>
      <c r="B14"/>
      <c r="C14"/>
    </row>
    <row r="15" spans="1:3" ht="14.4" x14ac:dyDescent="0.3">
      <c r="A15"/>
      <c r="B15"/>
      <c r="C15"/>
    </row>
    <row r="16" spans="1:3" ht="14.4" x14ac:dyDescent="0.3">
      <c r="A16"/>
      <c r="B16"/>
      <c r="C16"/>
    </row>
    <row r="17" spans="1:3" ht="14.4" x14ac:dyDescent="0.3">
      <c r="A17"/>
      <c r="B17"/>
      <c r="C17"/>
    </row>
    <row r="18" spans="1:3" ht="14.4" x14ac:dyDescent="0.3">
      <c r="A18"/>
      <c r="B18"/>
      <c r="C18"/>
    </row>
    <row r="19" spans="1:3" ht="14.4" x14ac:dyDescent="0.3">
      <c r="A19"/>
      <c r="B19"/>
      <c r="C19"/>
    </row>
    <row r="22" spans="1:3" ht="14.4" customHeight="1" x14ac:dyDescent="0.25"/>
    <row r="23" spans="1:3" ht="14.4" customHeight="1" x14ac:dyDescent="0.25"/>
    <row r="24" spans="1:3" ht="14.4" customHeight="1" x14ac:dyDescent="0.25"/>
    <row r="25" spans="1:3" ht="14.4" customHeight="1" x14ac:dyDescent="0.25"/>
    <row r="26" spans="1:3" ht="14.4" customHeight="1" x14ac:dyDescent="0.25"/>
    <row r="27" spans="1:3" ht="14.4" customHeight="1" x14ac:dyDescent="0.25"/>
    <row r="28" spans="1:3" ht="14.4" customHeight="1" x14ac:dyDescent="0.25"/>
    <row r="29" spans="1:3" ht="14.4" customHeight="1" x14ac:dyDescent="0.25"/>
    <row r="30" spans="1:3" ht="14.4" customHeight="1" x14ac:dyDescent="0.25"/>
    <row r="31" spans="1:3" ht="14.4" customHeight="1" x14ac:dyDescent="0.25"/>
    <row r="32" spans="1:3" ht="14.4" customHeight="1" x14ac:dyDescent="0.25"/>
    <row r="33" spans="5:5" ht="14.4" customHeight="1" x14ac:dyDescent="0.25"/>
    <row r="34" spans="5:5" ht="14.4" customHeight="1" x14ac:dyDescent="0.25"/>
    <row r="35" spans="5:5" ht="14.4" customHeight="1" x14ac:dyDescent="0.25"/>
    <row r="36" spans="5:5" ht="14.4" customHeight="1" x14ac:dyDescent="0.25"/>
    <row r="37" spans="5:5" ht="14.4" customHeight="1" x14ac:dyDescent="0.25"/>
    <row r="38" spans="5:5" ht="14.4" customHeight="1" x14ac:dyDescent="0.25"/>
    <row r="39" spans="5:5" x14ac:dyDescent="0.25">
      <c r="E39" s="17"/>
    </row>
    <row r="40" spans="5:5" ht="14.4" x14ac:dyDescent="0.25">
      <c r="E40" s="35"/>
    </row>
    <row r="41" spans="5:5" ht="14.4" x14ac:dyDescent="0.25">
      <c r="E41" s="35"/>
    </row>
    <row r="42" spans="5:5" ht="14.4" x14ac:dyDescent="0.25">
      <c r="E42" s="35"/>
    </row>
    <row r="76" spans="1:1" ht="14.4" x14ac:dyDescent="0.3">
      <c r="A76"/>
    </row>
    <row r="77" spans="1:1" ht="14.4" x14ac:dyDescent="0.3">
      <c r="A77"/>
    </row>
    <row r="78" spans="1:1" ht="14.4" x14ac:dyDescent="0.3">
      <c r="A78" t="s">
        <v>25</v>
      </c>
    </row>
    <row r="79" spans="1:1" ht="14.4" x14ac:dyDescent="0.3">
      <c r="A79"/>
    </row>
    <row r="80" spans="1:1" ht="14.4" x14ac:dyDescent="0.3">
      <c r="A80" t="s">
        <v>26</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E8E9D8-5026-9240-8D80-1EAC74298073}">
  <dimension ref="A1:O25"/>
  <sheetViews>
    <sheetView workbookViewId="0">
      <selection activeCell="G22" sqref="G22"/>
    </sheetView>
  </sheetViews>
  <sheetFormatPr defaultColWidth="11.44140625" defaultRowHeight="14.4" x14ac:dyDescent="0.3"/>
  <cols>
    <col min="1" max="1" width="18.5546875" customWidth="1"/>
    <col min="2" max="2" width="20" customWidth="1"/>
    <col min="3" max="3" width="13.44140625" customWidth="1"/>
    <col min="4" max="4" width="11.88671875" bestFit="1" customWidth="1"/>
    <col min="6" max="6" width="12.44140625" customWidth="1"/>
    <col min="9" max="9" width="54" bestFit="1" customWidth="1"/>
  </cols>
  <sheetData>
    <row r="1" spans="1:15" x14ac:dyDescent="0.3">
      <c r="A1" s="4" t="s">
        <v>9</v>
      </c>
      <c r="B1" s="5" t="s">
        <v>10</v>
      </c>
      <c r="C1" s="5" t="s">
        <v>11</v>
      </c>
      <c r="D1" s="5" t="s">
        <v>12</v>
      </c>
      <c r="E1" s="6" t="s">
        <v>13</v>
      </c>
      <c r="F1" s="7" t="s">
        <v>14</v>
      </c>
      <c r="G1" s="2"/>
      <c r="H1" s="2"/>
      <c r="I1" s="2"/>
      <c r="J1" s="2"/>
      <c r="K1" s="2"/>
      <c r="L1" s="2"/>
      <c r="M1" s="2"/>
      <c r="N1" s="2"/>
      <c r="O1" s="2"/>
    </row>
    <row r="2" spans="1:15" x14ac:dyDescent="0.3">
      <c r="A2" s="40">
        <v>6378</v>
      </c>
      <c r="B2" s="40">
        <v>-4087.98</v>
      </c>
      <c r="C2" s="25">
        <f>0.06/26</f>
        <v>2.3076923076923075E-3</v>
      </c>
      <c r="D2" s="26">
        <f>26/12</f>
        <v>2.1666666666666665</v>
      </c>
      <c r="E2" s="27">
        <f>PresentWorth[[#This Row],[Inflow Future Value]]/ (1 + PresentWorth[[#This Row],[Interest Rate]]) ^ PresentWorth[[#This Row],[Time]]</f>
        <v>6346.2261487986625</v>
      </c>
      <c r="F2" s="27">
        <f>PresentWorth[[#This Row],[Outflow Future Value]]/ ((1 + PresentWorth[[#This Row],[Interest Rate]]) ^ PresentWorth[[#This Row],[Time]])</f>
        <v>-4067.6145455888927</v>
      </c>
      <c r="G2" s="3"/>
      <c r="H2" s="3"/>
      <c r="I2" s="3" t="s">
        <v>50</v>
      </c>
      <c r="J2" s="3"/>
      <c r="K2" s="3"/>
      <c r="L2" s="3"/>
      <c r="M2" s="3"/>
      <c r="N2" s="3"/>
      <c r="O2" s="3"/>
    </row>
    <row r="3" spans="1:15" x14ac:dyDescent="0.3">
      <c r="A3" s="41">
        <v>6578</v>
      </c>
      <c r="B3" s="40">
        <v>-3837.98</v>
      </c>
      <c r="C3" s="25">
        <f t="shared" ref="C3:C9" si="0">0.06/26</f>
        <v>2.3076923076923075E-3</v>
      </c>
      <c r="D3" s="29">
        <f>$D2*2</f>
        <v>4.333333333333333</v>
      </c>
      <c r="E3" s="30">
        <f>PresentWorth[[#This Row],[Inflow Future Value]]/ (1 + PresentWorth[[#This Row],[Interest Rate]]) ^ PresentWorth[[#This Row],[Time]]</f>
        <v>6512.6228362089696</v>
      </c>
      <c r="F3" s="30">
        <f>PresentWorth[[#This Row],[Outflow Future Value]]/ ((1 + PresentWorth[[#This Row],[Interest Rate]]) ^ PresentWorth[[#This Row],[Time]])</f>
        <v>-3799.8352375970358</v>
      </c>
      <c r="G3" s="2"/>
      <c r="H3" s="2"/>
      <c r="I3" s="2" t="s">
        <v>22</v>
      </c>
      <c r="J3" s="24">
        <v>51909.386803839356</v>
      </c>
      <c r="K3" s="2"/>
      <c r="L3" s="2"/>
      <c r="M3" s="2"/>
      <c r="N3" s="2"/>
      <c r="O3" s="2"/>
    </row>
    <row r="4" spans="1:15" x14ac:dyDescent="0.3">
      <c r="A4" s="40">
        <v>6578</v>
      </c>
      <c r="B4" s="40">
        <v>-3837.98</v>
      </c>
      <c r="C4" s="25">
        <f t="shared" si="0"/>
        <v>2.3076923076923075E-3</v>
      </c>
      <c r="D4" s="26">
        <f>$D2*3</f>
        <v>6.5</v>
      </c>
      <c r="E4" s="27">
        <f>PresentWorth[[#This Row],[Inflow Future Value]]/ (1 + PresentWorth[[#This Row],[Interest Rate]]) ^ PresentWorth[[#This Row],[Time]]</f>
        <v>6480.1783224228093</v>
      </c>
      <c r="F4" s="27">
        <f>PresentWorth[[#This Row],[Outflow Future Value]]/ ((1 + PresentWorth[[#This Row],[Interest Rate]]) ^ PresentWorth[[#This Row],[Time]])</f>
        <v>-3780.9052596370161</v>
      </c>
      <c r="G4" s="1"/>
      <c r="H4" s="1"/>
      <c r="I4" s="2" t="s">
        <v>23</v>
      </c>
      <c r="J4" s="24">
        <v>-30121.97921592875</v>
      </c>
      <c r="K4" s="1"/>
      <c r="L4" s="1"/>
      <c r="M4" s="1"/>
      <c r="N4" s="1"/>
      <c r="O4" s="1"/>
    </row>
    <row r="5" spans="1:15" x14ac:dyDescent="0.3">
      <c r="A5" s="41">
        <v>6578</v>
      </c>
      <c r="B5" s="40">
        <v>-3837.98</v>
      </c>
      <c r="C5" s="25">
        <f t="shared" si="0"/>
        <v>2.3076923076923075E-3</v>
      </c>
      <c r="D5" s="29">
        <f>D2*4</f>
        <v>8.6666666666666661</v>
      </c>
      <c r="E5" s="30">
        <f>PresentWorth[[#This Row],[Inflow Future Value]]/ (1 + PresentWorth[[#This Row],[Interest Rate]]) ^ PresentWorth[[#This Row],[Time]]</f>
        <v>6447.8954403634189</v>
      </c>
      <c r="F5" s="30">
        <f>PresentWorth[[#This Row],[Outflow Future Value]]/ ((1 + PresentWorth[[#This Row],[Interest Rate]]) ^ PresentWorth[[#This Row],[Time]])</f>
        <v>-3762.0695868358152</v>
      </c>
      <c r="G5" s="2"/>
      <c r="H5" s="2"/>
      <c r="I5" s="2" t="s">
        <v>24</v>
      </c>
      <c r="J5" s="24">
        <v>21787.407587910606</v>
      </c>
      <c r="K5" s="2"/>
      <c r="L5" s="2"/>
      <c r="M5" s="2"/>
      <c r="N5" s="2"/>
      <c r="O5" s="2"/>
    </row>
    <row r="6" spans="1:15" x14ac:dyDescent="0.3">
      <c r="A6" s="40">
        <v>6578</v>
      </c>
      <c r="B6" s="40">
        <v>-3887.98</v>
      </c>
      <c r="C6" s="25">
        <f t="shared" si="0"/>
        <v>2.3076923076923075E-3</v>
      </c>
      <c r="D6" s="26">
        <f>D2*5</f>
        <v>10.833333333333332</v>
      </c>
      <c r="E6" s="27">
        <f>PresentWorth[[#This Row],[Inflow Future Value]]/ (1 + PresentWorth[[#This Row],[Interest Rate]]) ^ PresentWorth[[#This Row],[Time]]</f>
        <v>6415.7733848156158</v>
      </c>
      <c r="F6" s="27">
        <f>PresentWorth[[#This Row],[Outflow Future Value]]/ ((1 + PresentWorth[[#This Row],[Interest Rate]]) ^ PresentWorth[[#This Row],[Time]])</f>
        <v>-3792.0946495432377</v>
      </c>
      <c r="G6" s="2"/>
      <c r="H6" s="2"/>
      <c r="K6" s="2"/>
      <c r="L6" s="2"/>
      <c r="M6" s="2"/>
      <c r="N6" s="2"/>
      <c r="O6" s="2"/>
    </row>
    <row r="7" spans="1:15" x14ac:dyDescent="0.3">
      <c r="A7" s="41">
        <v>6578</v>
      </c>
      <c r="B7" s="40">
        <v>-3837.98</v>
      </c>
      <c r="C7" s="25">
        <f t="shared" si="0"/>
        <v>2.3076923076923075E-3</v>
      </c>
      <c r="D7" s="29">
        <f>D2*6</f>
        <v>13</v>
      </c>
      <c r="E7" s="30">
        <f>PresentWorth[[#This Row],[Inflow Future Value]]/ (1 + PresentWorth[[#This Row],[Interest Rate]]) ^ PresentWorth[[#This Row],[Time]]</f>
        <v>6383.8113545756287</v>
      </c>
      <c r="F7" s="30">
        <f>PresentWorth[[#This Row],[Outflow Future Value]]/ ((1 + PresentWorth[[#This Row],[Interest Rate]]) ^ PresentWorth[[#This Row],[Time]])</f>
        <v>-3724.6792798166875</v>
      </c>
      <c r="G7" s="2"/>
      <c r="H7" s="2"/>
      <c r="K7" s="2"/>
      <c r="L7" s="2"/>
      <c r="M7" s="2"/>
      <c r="N7" s="2"/>
      <c r="O7" s="2"/>
    </row>
    <row r="8" spans="1:15" x14ac:dyDescent="0.3">
      <c r="A8" s="40">
        <v>6578</v>
      </c>
      <c r="B8" s="40">
        <v>-3837.98</v>
      </c>
      <c r="C8" s="25">
        <f t="shared" si="0"/>
        <v>2.3076923076923075E-3</v>
      </c>
      <c r="D8" s="26">
        <f>D2*7</f>
        <v>15.166666666666666</v>
      </c>
      <c r="E8" s="27">
        <f>PresentWorth[[#This Row],[Inflow Future Value]]/ (1 + PresentWorth[[#This Row],[Interest Rate]]) ^ PresentWorth[[#This Row],[Time]]</f>
        <v>6352.0085524311189</v>
      </c>
      <c r="F8" s="27">
        <f>PresentWorth[[#This Row],[Outflow Future Value]]/ ((1 + PresentWorth[[#This Row],[Interest Rate]]) ^ PresentWorth[[#This Row],[Time]])</f>
        <v>-3706.1237129917281</v>
      </c>
      <c r="G8" s="2"/>
      <c r="H8" s="2"/>
      <c r="K8" s="2"/>
      <c r="L8" s="2"/>
      <c r="M8" s="2"/>
      <c r="N8" s="2"/>
      <c r="O8" s="2"/>
    </row>
    <row r="9" spans="1:15" x14ac:dyDescent="0.3">
      <c r="A9" s="41">
        <v>11078</v>
      </c>
      <c r="B9" s="40">
        <v>-3837.98</v>
      </c>
      <c r="C9" s="25">
        <f t="shared" si="0"/>
        <v>2.3076923076923075E-3</v>
      </c>
      <c r="D9" s="29">
        <f>D2*8</f>
        <v>17.333333333333332</v>
      </c>
      <c r="E9" s="30">
        <f>PresentWorth[[#This Row],[Inflow Future Value]]/ (1 + PresentWorth[[#This Row],[Interest Rate]]) ^ PresentWorth[[#This Row],[Time]]</f>
        <v>10644.115908026019</v>
      </c>
      <c r="F9" s="30">
        <f>PresentWorth[[#This Row],[Outflow Future Value]]/ ((1 + PresentWorth[[#This Row],[Interest Rate]]) ^ PresentWorth[[#This Row],[Time]])</f>
        <v>-3687.6605860882555</v>
      </c>
      <c r="G9" s="2"/>
      <c r="H9" s="2"/>
      <c r="I9" s="1" t="s">
        <v>51</v>
      </c>
      <c r="J9" s="2"/>
      <c r="K9" s="2"/>
      <c r="L9" s="2"/>
      <c r="M9" s="2"/>
      <c r="N9" s="2"/>
      <c r="O9" s="2"/>
    </row>
    <row r="10" spans="1:15" x14ac:dyDescent="0.3">
      <c r="A10" s="13"/>
      <c r="B10" s="13"/>
      <c r="C10" s="25"/>
      <c r="D10" s="26"/>
      <c r="E10" s="27"/>
      <c r="F10" s="27"/>
      <c r="G10" s="2"/>
      <c r="H10" s="2"/>
      <c r="I10" s="2" t="s">
        <v>22</v>
      </c>
      <c r="J10" s="23">
        <f>SUM(E2:E9)</f>
        <v>55582.63194764225</v>
      </c>
      <c r="K10" s="2"/>
      <c r="L10" s="2"/>
      <c r="M10" s="2"/>
      <c r="N10" s="2"/>
      <c r="O10" s="2"/>
    </row>
    <row r="11" spans="1:15" x14ac:dyDescent="0.3">
      <c r="A11" s="14"/>
      <c r="B11" s="14"/>
      <c r="C11" s="28"/>
      <c r="D11" s="29"/>
      <c r="E11" s="30"/>
      <c r="F11" s="30"/>
      <c r="G11" s="2"/>
      <c r="H11" s="2"/>
      <c r="I11" s="2" t="s">
        <v>23</v>
      </c>
      <c r="J11" s="23">
        <f>SUM(F2:F9)</f>
        <v>-30320.982858098665</v>
      </c>
      <c r="K11" s="2"/>
      <c r="L11" s="2"/>
      <c r="M11" s="2"/>
      <c r="N11" s="2"/>
      <c r="O11" s="2"/>
    </row>
    <row r="12" spans="1:15" x14ac:dyDescent="0.3">
      <c r="A12" s="13"/>
      <c r="B12" s="13"/>
      <c r="C12" s="25"/>
      <c r="D12" s="26"/>
      <c r="E12" s="27"/>
      <c r="F12" s="27"/>
      <c r="G12" s="2"/>
      <c r="H12" s="2"/>
      <c r="I12" s="2" t="s">
        <v>24</v>
      </c>
      <c r="J12" s="24">
        <f>J10+J11</f>
        <v>25261.649089543585</v>
      </c>
      <c r="K12" s="2"/>
      <c r="L12" s="2"/>
      <c r="M12" s="2"/>
      <c r="N12" s="2"/>
      <c r="O12" s="2"/>
    </row>
    <row r="13" spans="1:15" x14ac:dyDescent="0.3">
      <c r="A13" s="14"/>
      <c r="B13" s="14"/>
      <c r="C13" s="28"/>
      <c r="D13" s="29"/>
      <c r="E13" s="30"/>
      <c r="F13" s="30"/>
      <c r="G13" s="2"/>
      <c r="H13" s="2"/>
      <c r="I13" s="2"/>
      <c r="J13" s="23"/>
      <c r="K13" s="2"/>
      <c r="L13" s="2"/>
      <c r="M13" s="2"/>
      <c r="N13" s="2"/>
      <c r="O13" s="2"/>
    </row>
    <row r="14" spans="1:15" x14ac:dyDescent="0.3">
      <c r="A14" s="13"/>
      <c r="B14" s="13"/>
      <c r="C14" s="25"/>
      <c r="D14" s="26"/>
      <c r="E14" s="27"/>
      <c r="F14" s="27"/>
      <c r="G14" s="2"/>
      <c r="H14" s="2"/>
      <c r="I14" s="2"/>
      <c r="J14" s="24"/>
      <c r="K14" s="2"/>
      <c r="L14" s="2"/>
      <c r="M14" s="2"/>
      <c r="N14" s="2"/>
      <c r="O14" s="2"/>
    </row>
    <row r="15" spans="1:15" x14ac:dyDescent="0.3">
      <c r="A15" s="14"/>
      <c r="B15" s="14"/>
      <c r="C15" s="28"/>
      <c r="D15" s="29"/>
      <c r="E15" s="30"/>
      <c r="F15" s="30"/>
      <c r="G15" s="2"/>
      <c r="H15" s="2"/>
      <c r="I15" s="2" t="s">
        <v>52</v>
      </c>
      <c r="J15" s="24">
        <f>J12-J5</f>
        <v>3474.2415016329796</v>
      </c>
      <c r="K15" s="2"/>
      <c r="L15" s="2"/>
      <c r="M15" s="2"/>
      <c r="N15" s="2"/>
      <c r="O15" s="2"/>
    </row>
    <row r="16" spans="1:15" x14ac:dyDescent="0.3">
      <c r="A16" s="13"/>
      <c r="B16" s="13"/>
      <c r="C16" s="25"/>
      <c r="D16" s="26"/>
      <c r="E16" s="27"/>
      <c r="F16" s="27"/>
      <c r="G16" s="2"/>
      <c r="H16" s="2"/>
      <c r="I16" s="2"/>
      <c r="J16" s="2"/>
      <c r="K16" s="2"/>
      <c r="L16" s="2"/>
      <c r="M16" s="2"/>
      <c r="N16" s="2"/>
      <c r="O16" s="2"/>
    </row>
    <row r="17" spans="1:15" x14ac:dyDescent="0.3">
      <c r="A17" s="15"/>
      <c r="B17" s="15"/>
      <c r="C17" s="33"/>
      <c r="D17" s="32"/>
      <c r="E17" s="31"/>
      <c r="F17" s="31"/>
      <c r="G17" s="2"/>
      <c r="H17" s="2"/>
      <c r="I17" s="2"/>
      <c r="J17" s="2"/>
      <c r="K17" s="2"/>
      <c r="L17" s="2"/>
      <c r="M17" s="2"/>
      <c r="N17" s="2"/>
      <c r="O17" s="2"/>
    </row>
    <row r="18" spans="1:15" x14ac:dyDescent="0.3">
      <c r="A18" s="13"/>
      <c r="B18" s="13"/>
      <c r="C18" s="13"/>
      <c r="D18" s="13"/>
      <c r="E18" s="13"/>
      <c r="F18" s="13"/>
    </row>
    <row r="19" spans="1:15" x14ac:dyDescent="0.3">
      <c r="A19" s="14"/>
      <c r="B19" s="14"/>
      <c r="C19" s="14"/>
      <c r="D19" s="14"/>
      <c r="E19" s="14"/>
      <c r="F19" s="14"/>
    </row>
    <row r="20" spans="1:15" x14ac:dyDescent="0.3">
      <c r="A20" s="13"/>
      <c r="B20" s="13"/>
      <c r="C20" s="13"/>
      <c r="D20" s="13"/>
      <c r="E20" s="13"/>
      <c r="F20" s="13"/>
    </row>
    <row r="21" spans="1:15" x14ac:dyDescent="0.3">
      <c r="A21" s="14"/>
      <c r="B21" s="14"/>
      <c r="C21" s="14"/>
      <c r="D21" s="14"/>
      <c r="E21" s="14"/>
      <c r="F21" s="14"/>
    </row>
    <row r="22" spans="1:15" x14ac:dyDescent="0.3">
      <c r="A22" s="13"/>
      <c r="B22" s="13"/>
      <c r="C22" s="13"/>
      <c r="D22" s="13"/>
      <c r="E22" s="13"/>
      <c r="F22" s="13"/>
    </row>
    <row r="23" spans="1:15" x14ac:dyDescent="0.3">
      <c r="A23" s="14"/>
      <c r="B23" s="14"/>
      <c r="C23" s="14"/>
      <c r="D23" s="14"/>
      <c r="E23" s="14"/>
      <c r="F23" s="14"/>
    </row>
    <row r="24" spans="1:15" x14ac:dyDescent="0.3">
      <c r="A24" s="13"/>
      <c r="B24" s="13"/>
      <c r="C24" s="13"/>
      <c r="D24" s="13"/>
      <c r="E24" s="13"/>
      <c r="F24" s="13"/>
    </row>
    <row r="25" spans="1:15" x14ac:dyDescent="0.3">
      <c r="A25" s="15"/>
      <c r="B25" s="15"/>
      <c r="C25" s="15"/>
      <c r="D25" s="15"/>
      <c r="E25" s="15"/>
      <c r="F25" s="15"/>
    </row>
  </sheetData>
  <phoneticPr fontId="1" type="noConversion"/>
  <pageMargins left="0.7" right="0.7" top="0.75" bottom="0.75" header="0.3" footer="0.3"/>
  <pageSetup orientation="portrait"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68AC9C-3EB1-4771-95BD-77B3F138E970}">
  <dimension ref="A1:M17"/>
  <sheetViews>
    <sheetView workbookViewId="0">
      <selection activeCell="G19" sqref="G19"/>
    </sheetView>
  </sheetViews>
  <sheetFormatPr defaultColWidth="8.88671875" defaultRowHeight="13.8" x14ac:dyDescent="0.25"/>
  <cols>
    <col min="1" max="1" width="12" style="11" bestFit="1" customWidth="1"/>
    <col min="2" max="2" width="12.6640625" style="11" bestFit="1" customWidth="1"/>
    <col min="3" max="3" width="8" style="11" hidden="1" customWidth="1"/>
    <col min="4" max="4" width="7.33203125" style="11" bestFit="1" customWidth="1"/>
    <col min="5" max="12" width="5" style="11" bestFit="1" customWidth="1"/>
    <col min="13" max="13" width="5.6640625" style="11" bestFit="1" customWidth="1"/>
    <col min="14" max="16384" width="8.88671875" style="11"/>
  </cols>
  <sheetData>
    <row r="1" spans="1:13" x14ac:dyDescent="0.25">
      <c r="A1" s="11" t="s">
        <v>0</v>
      </c>
      <c r="B1" s="11" t="s">
        <v>1</v>
      </c>
      <c r="C1" s="11" t="s">
        <v>2</v>
      </c>
      <c r="D1" s="11" t="s">
        <v>12</v>
      </c>
    </row>
    <row r="2" spans="1:13" x14ac:dyDescent="0.25">
      <c r="C2" s="11">
        <v>1</v>
      </c>
      <c r="D2" s="11">
        <v>1</v>
      </c>
      <c r="E2" s="16"/>
      <c r="F2" s="16"/>
      <c r="G2" s="16"/>
      <c r="H2" s="16"/>
      <c r="I2" s="16"/>
      <c r="J2" s="16"/>
      <c r="K2" s="16"/>
      <c r="L2" s="16"/>
      <c r="M2" s="16"/>
    </row>
    <row r="3" spans="1:13" x14ac:dyDescent="0.25">
      <c r="C3" s="11">
        <v>2</v>
      </c>
      <c r="D3" s="11">
        <v>2</v>
      </c>
    </row>
    <row r="4" spans="1:13" x14ac:dyDescent="0.25">
      <c r="C4" s="11">
        <v>3</v>
      </c>
      <c r="D4" s="11">
        <v>3</v>
      </c>
      <c r="E4" s="17"/>
      <c r="F4" s="17"/>
      <c r="G4" s="17"/>
      <c r="H4" s="17"/>
      <c r="I4" s="17"/>
      <c r="J4" s="17"/>
      <c r="K4" s="17"/>
      <c r="L4" s="17"/>
      <c r="M4" s="17"/>
    </row>
    <row r="5" spans="1:13" x14ac:dyDescent="0.25">
      <c r="C5" s="11">
        <v>4</v>
      </c>
      <c r="D5" s="11">
        <v>4</v>
      </c>
    </row>
    <row r="6" spans="1:13" x14ac:dyDescent="0.25">
      <c r="C6" s="11">
        <v>5</v>
      </c>
      <c r="D6" s="11">
        <v>5</v>
      </c>
    </row>
    <row r="7" spans="1:13" x14ac:dyDescent="0.25">
      <c r="C7" s="11">
        <v>6</v>
      </c>
      <c r="D7" s="11">
        <v>6</v>
      </c>
    </row>
    <row r="8" spans="1:13" x14ac:dyDescent="0.25">
      <c r="C8" s="11">
        <v>7</v>
      </c>
      <c r="D8" s="11">
        <v>7</v>
      </c>
    </row>
    <row r="9" spans="1:13" x14ac:dyDescent="0.25">
      <c r="C9" s="11">
        <v>8</v>
      </c>
      <c r="D9" s="11">
        <v>8</v>
      </c>
    </row>
    <row r="10" spans="1:13" x14ac:dyDescent="0.25">
      <c r="C10" s="11">
        <v>9</v>
      </c>
      <c r="D10" s="11">
        <v>9</v>
      </c>
    </row>
    <row r="11" spans="1:13" x14ac:dyDescent="0.25">
      <c r="C11" s="11">
        <v>10</v>
      </c>
      <c r="D11" s="11">
        <v>10</v>
      </c>
    </row>
    <row r="12" spans="1:13" x14ac:dyDescent="0.25">
      <c r="C12" s="11">
        <v>11</v>
      </c>
      <c r="D12" s="11">
        <v>11</v>
      </c>
    </row>
    <row r="13" spans="1:13" x14ac:dyDescent="0.25">
      <c r="C13" s="11">
        <v>12</v>
      </c>
      <c r="D13" s="11">
        <v>12</v>
      </c>
    </row>
    <row r="14" spans="1:13" x14ac:dyDescent="0.25">
      <c r="C14" s="11">
        <v>13</v>
      </c>
      <c r="D14" s="11">
        <v>13</v>
      </c>
    </row>
    <row r="15" spans="1:13" x14ac:dyDescent="0.25">
      <c r="C15" s="11">
        <v>14</v>
      </c>
      <c r="D15" s="11">
        <v>14</v>
      </c>
    </row>
    <row r="16" spans="1:13" x14ac:dyDescent="0.25">
      <c r="C16" s="11">
        <v>15</v>
      </c>
      <c r="D16" s="11">
        <v>15</v>
      </c>
    </row>
    <row r="17" spans="4:4" x14ac:dyDescent="0.25">
      <c r="D17" s="11">
        <v>16</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006c7cb9-3c36-40e5-a5d9-86e0029a058a" xsi:nil="true"/>
    <lcf76f155ced4ddcb4097134ff3c332f xmlns="a5db53bf-fe91-4cb9-a657-3e0c4c7ee7a0">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69BC17E552CE50459814B45CAB38E643" ma:contentTypeVersion="16" ma:contentTypeDescription="Create a new document." ma:contentTypeScope="" ma:versionID="a2c4a0a3be967a154ef3fcd83466f29a">
  <xsd:schema xmlns:xsd="http://www.w3.org/2001/XMLSchema" xmlns:xs="http://www.w3.org/2001/XMLSchema" xmlns:p="http://schemas.microsoft.com/office/2006/metadata/properties" xmlns:ns2="006c7cb9-3c36-40e5-a5d9-86e0029a058a" xmlns:ns3="a5db53bf-fe91-4cb9-a657-3e0c4c7ee7a0" targetNamespace="http://schemas.microsoft.com/office/2006/metadata/properties" ma:root="true" ma:fieldsID="4cb9171e460dc7c1a5cf1b2c367a13c3" ns2:_="" ns3:_="">
    <xsd:import namespace="006c7cb9-3c36-40e5-a5d9-86e0029a058a"/>
    <xsd:import namespace="a5db53bf-fe91-4cb9-a657-3e0c4c7ee7a0"/>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SearchProperties" minOccurs="0"/>
                <xsd:element ref="ns3:MediaServiceDateTaken" minOccurs="0"/>
                <xsd:element ref="ns3:MediaServiceObjectDetectorVersions" minOccurs="0"/>
                <xsd:element ref="ns3:MediaServiceGenerationTime" minOccurs="0"/>
                <xsd:element ref="ns3:MediaServiceEventHashCode" minOccurs="0"/>
                <xsd:element ref="ns3:MediaLengthInSeconds" minOccurs="0"/>
                <xsd:element ref="ns3:MediaServiceLocation" minOccurs="0"/>
                <xsd:element ref="ns3:lcf76f155ced4ddcb4097134ff3c332f" minOccurs="0"/>
                <xsd:element ref="ns2:TaxCatchAll" minOccurs="0"/>
                <xsd:element ref="ns3:MediaServiceOCR"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06c7cb9-3c36-40e5-a5d9-86e0029a058a"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cc6cf274-fc21-4180-95bc-11d99ba0f523}" ma:internalName="TaxCatchAll" ma:showField="CatchAllData" ma:web="006c7cb9-3c36-40e5-a5d9-86e0029a058a">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a5db53bf-fe91-4cb9-a657-3e0c4c7ee7a0"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Location" ma:index="18" nillable="true" ma:displayName="Location" ma:indexed="true" ma:internalName="MediaServiceLocatio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a073764d-e844-48d8-8cbc-d63b9d952867" ma:termSetId="09814cd3-568e-fe90-9814-8d621ff8fb84" ma:anchorId="fba54fb3-c3e1-fe81-a776-ca4b69148c4d" ma:open="true" ma:isKeyword="false">
      <xsd:complexType>
        <xsd:sequence>
          <xsd:element ref="pc:Terms" minOccurs="0" maxOccurs="1"/>
        </xsd:sequence>
      </xsd:complexType>
    </xsd:element>
    <xsd:element name="MediaServiceOCR" ma:index="22" nillable="true" ma:displayName="Extracted Text" ma:internalName="MediaServiceOCR" ma:readOnly="true">
      <xsd:simpleType>
        <xsd:restriction base="dms:Note">
          <xsd:maxLength value="255"/>
        </xsd:restriction>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0EC47EC-A1EB-4F3D-B05F-B3D5515BF978}">
  <ds:schemaRefs>
    <ds:schemaRef ds:uri="http://www.w3.org/XML/1998/namespace"/>
    <ds:schemaRef ds:uri="a5db53bf-fe91-4cb9-a657-3e0c4c7ee7a0"/>
    <ds:schemaRef ds:uri="http://purl.org/dc/elements/1.1/"/>
    <ds:schemaRef ds:uri="http://purl.org/dc/terms/"/>
    <ds:schemaRef ds:uri="http://schemas.microsoft.com/office/2006/documentManagement/types"/>
    <ds:schemaRef ds:uri="http://schemas.microsoft.com/office/infopath/2007/PartnerControls"/>
    <ds:schemaRef ds:uri="http://schemas.openxmlformats.org/package/2006/metadata/core-properties"/>
    <ds:schemaRef ds:uri="006c7cb9-3c36-40e5-a5d9-86e0029a058a"/>
    <ds:schemaRef ds:uri="http://schemas.microsoft.com/office/2006/metadata/properties"/>
    <ds:schemaRef ds:uri="http://purl.org/dc/dcmitype/"/>
  </ds:schemaRefs>
</ds:datastoreItem>
</file>

<file path=customXml/itemProps2.xml><?xml version="1.0" encoding="utf-8"?>
<ds:datastoreItem xmlns:ds="http://schemas.openxmlformats.org/officeDocument/2006/customXml" ds:itemID="{C95E8CDF-DBC3-4BAA-B111-4527677C0BE0}">
  <ds:schemaRefs>
    <ds:schemaRef ds:uri="http://schemas.microsoft.com/sharepoint/v3/contenttype/forms"/>
  </ds:schemaRefs>
</ds:datastoreItem>
</file>

<file path=customXml/itemProps3.xml><?xml version="1.0" encoding="utf-8"?>
<ds:datastoreItem xmlns:ds="http://schemas.openxmlformats.org/officeDocument/2006/customXml" ds:itemID="{D25BE59E-C15F-4B02-AE9F-3378D8C8596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06c7cb9-3c36-40e5-a5d9-86e0029a058a"/>
    <ds:schemaRef ds:uri="a5db53bf-fe91-4cb9-a657-3e0c4c7ee7a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Cash Flows</vt:lpstr>
      <vt:lpstr>Detail1</vt:lpstr>
      <vt:lpstr>Detail2</vt:lpstr>
      <vt:lpstr>Detail3</vt:lpstr>
      <vt:lpstr>Detail4</vt:lpstr>
      <vt:lpstr>Cash Flow Diagram</vt:lpstr>
      <vt:lpstr>PW </vt:lpstr>
      <vt:lpstr>Extra Sheet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Felicity Rugard</dc:creator>
  <cp:keywords/>
  <dc:description/>
  <cp:lastModifiedBy>Tridib Banik</cp:lastModifiedBy>
  <cp:revision/>
  <dcterms:created xsi:type="dcterms:W3CDTF">2024-05-23T19:58:43Z</dcterms:created>
  <dcterms:modified xsi:type="dcterms:W3CDTF">2026-02-03T04:09:15Z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0x01010069BC17E552CE50459814B45CAB38E643</vt:lpwstr>
  </property>
  <property fmtid="{D5CDD505-2E9C-101B-9397-08002B2CF9AE}" pid="3" name="MediaServiceImageTags">
    <vt:lpwstr/>
  </property>
  <property fmtid="{D5CDD505-2E9C-101B-9397-08002B2CF9AE}" pid="4" name="Order">
    <vt:r8>102000</vt:r8>
  </property>
  <property fmtid="{D5CDD505-2E9C-101B-9397-08002B2CF9AE}" pid="5" name="xd_Signature">
    <vt:bool>false</vt:bool>
  </property>
  <property fmtid="{D5CDD505-2E9C-101B-9397-08002B2CF9AE}" pid="6" name="xd_ProgID">
    <vt:lpwstr/>
  </property>
  <property fmtid="{D5CDD505-2E9C-101B-9397-08002B2CF9AE}" pid="7" name="ComplianceAssetId">
    <vt:lpwstr/>
  </property>
  <property fmtid="{D5CDD505-2E9C-101B-9397-08002B2CF9AE}" pid="8" name="TemplateUrl">
    <vt:lpwstr/>
  </property>
  <property fmtid="{D5CDD505-2E9C-101B-9397-08002B2CF9AE}" pid="9" name="_ExtendedDescription">
    <vt:lpwstr/>
  </property>
  <property fmtid="{D5CDD505-2E9C-101B-9397-08002B2CF9AE}" pid="10" name="TriggerFlowInfo">
    <vt:lpwstr/>
  </property>
</Properties>
</file>