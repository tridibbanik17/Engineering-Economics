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OWNER\Downloads\"/>
    </mc:Choice>
  </mc:AlternateContent>
  <xr:revisionPtr revIDLastSave="0" documentId="8_{66148EF7-DB82-4620-A8B2-643CF27E19ED}" xr6:coauthVersionLast="47" xr6:coauthVersionMax="47" xr10:uidLastSave="{00000000-0000-0000-0000-000000000000}"/>
  <bookViews>
    <workbookView xWindow="-108" yWindow="-108" windowWidth="23256" windowHeight="12456" xr2:uid="{00000000-000D-0000-FFFF-FFFF00000000}"/>
  </bookViews>
  <sheets>
    <sheet name="PW AW Comparison" sheetId="14"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14" l="1"/>
  <c r="E11" i="14"/>
  <c r="B27" i="14"/>
  <c r="B33" i="14"/>
  <c r="B25" i="14"/>
  <c r="E13" i="14"/>
  <c r="E14" i="14"/>
  <c r="E12" i="14"/>
  <c r="E10" i="14"/>
  <c r="E5" i="14"/>
  <c r="M6" i="14"/>
  <c r="M8" i="14"/>
  <c r="M9" i="14"/>
  <c r="M11" i="14"/>
  <c r="M12" i="14"/>
  <c r="B32" i="14" s="1"/>
  <c r="M14" i="14"/>
  <c r="B34" i="14" s="1"/>
  <c r="M5" i="14"/>
  <c r="E7" i="14"/>
  <c r="E9" i="14"/>
  <c r="B29" i="14" s="1"/>
  <c r="M13" i="14"/>
  <c r="E8" i="14"/>
  <c r="B26" i="14" l="1"/>
  <c r="E15" i="14"/>
  <c r="E16" i="14" s="1"/>
  <c r="E17" i="14"/>
  <c r="B31" i="14"/>
  <c r="M7" i="14"/>
  <c r="M10" i="14"/>
  <c r="B30" i="14" s="1"/>
  <c r="B28" i="14"/>
  <c r="M17" i="14"/>
  <c r="B35" i="14" l="1"/>
  <c r="M15" i="14"/>
  <c r="M16" i="14" s="1"/>
</calcChain>
</file>

<file path=xl/sharedStrings.xml><?xml version="1.0" encoding="utf-8"?>
<sst xmlns="http://schemas.openxmlformats.org/spreadsheetml/2006/main" count="42" uniqueCount="30">
  <si>
    <t>Student:</t>
  </si>
  <si>
    <t>Subsystem:</t>
  </si>
  <si>
    <t>Design:</t>
  </si>
  <si>
    <t>Design A</t>
  </si>
  <si>
    <t>Design B</t>
  </si>
  <si>
    <t>Year</t>
  </si>
  <si>
    <t>CapEx (Real)</t>
  </si>
  <si>
    <t>OpEx (Real)</t>
  </si>
  <si>
    <t>Net cash flow (Nominal)</t>
  </si>
  <si>
    <t>PW</t>
  </si>
  <si>
    <t>AW</t>
  </si>
  <si>
    <t>IRR</t>
  </si>
  <si>
    <t>Nominal Annual Discount Rate</t>
  </si>
  <si>
    <t>Inflation Rate</t>
  </si>
  <si>
    <t>Note: A Baseline design is used for this example. In the project, you are expected to compare the two subsystem designs you and your partner developed.</t>
  </si>
  <si>
    <t>Cash Flow Difference Design B-Design A</t>
  </si>
  <si>
    <t>IRR of Cash Flow Difference</t>
  </si>
  <si>
    <t>Monetized benefits (Real)</t>
  </si>
  <si>
    <t>Tridib Banik</t>
  </si>
  <si>
    <t xml:space="preserve">Facility Security Software </t>
  </si>
  <si>
    <t>Controlling Camera and having easy to use dashboards for security personnels</t>
  </si>
  <si>
    <t>Jacob Brodersen</t>
  </si>
  <si>
    <t>Facility Security Software</t>
  </si>
  <si>
    <t>Protect the facility from data breaches and other cybersecurity attacks</t>
  </si>
  <si>
    <t>`</t>
  </si>
  <si>
    <t>Real‑Time Camera Control and Intuitive Dashboards for Front‑Line Security Teams</t>
  </si>
  <si>
    <t>Protecting the Facility Against Breaches, Intrusions, and Cyber Attacks</t>
  </si>
  <si>
    <t>Nominal Annual Discount Rate = 7%</t>
  </si>
  <si>
    <t>Minimum Acceptable Rate if Return = 10%</t>
  </si>
  <si>
    <r>
      <rPr>
        <b/>
        <sz val="11"/>
        <color theme="3" tint="0.249977111117893"/>
        <rFont val="Arial Narrow"/>
        <family val="2"/>
      </rPr>
      <t>Discussion:</t>
    </r>
    <r>
      <rPr>
        <sz val="11"/>
        <color theme="1"/>
        <rFont val="Arial Narrow"/>
        <family val="2"/>
      </rPr>
      <t xml:space="preserve"> </t>
    </r>
    <r>
      <rPr>
        <b/>
        <sz val="11"/>
        <color theme="1"/>
        <rFont val="Arial Narrow"/>
        <family val="2"/>
      </rPr>
      <t xml:space="preserve">Exercise 3 (Interpretation and Design Narrowing): </t>
    </r>
    <r>
      <rPr>
        <sz val="11"/>
        <color theme="1"/>
        <rFont val="Arial Narrow"/>
        <family val="2"/>
      </rPr>
      <t xml:space="preserve">Introducing 2.4% inflation (with a 7% nominal discount rate) increased PW and AW for both designs because recurring net benefits grow in nominal terms over time. For Design A, PW rose from $803,348.93 to $925,518.83 and AW from $114,378.81 to $131,773.06. For Design B, PW increased from $3,030,360.73 to $3,502,083.54 and AW from $431,455.19 to $498,617.91. The larger impact on Design B is due to its much higher recurring benefits, which compound over the 10-year period. Since CapEx occurs mainly in Year 1, the recurring monetized benefits and OpEx were most affected by inflation.
IRR supports the conclusions from PW and AW. Both designs have IRRs (220% for A, 164% for B) well above the 7% nominal discount rate, confirming they are economically viable. Although Design A has the higher standalone IRR, Design B produces far greater total economic value. The IRR of Cash Flow Difference of 150.336% exceeds the 10% minimum acceptable rate of return (MARR), justifying the additional investment in Design B. Since we are comparing Design B against Design A and IRR of Cash Flow Difference between Design B and Design A is 150.336% (way greater than the Minimum Acceptable Rate of Return that is given in the Week7 project document), Design B brings more returns in terms of economic value than Design A. This also highlights sensitivity to projected recurring benefits and the higher cost exposure of Design B. Since the OpEx of Design B is a much higher value than that of Design A. It means Design B OpEx are much more sensitive to the inflation rate. So, tweaking a small amount in OpEx might cause a big difference in IRR calculation.
</t>
    </r>
    <r>
      <rPr>
        <b/>
        <sz val="11"/>
        <color theme="1"/>
        <rFont val="Arial Narrow"/>
        <family val="2"/>
      </rPr>
      <t xml:space="preserve">
Primary Design Selection:
</t>
    </r>
    <r>
      <rPr>
        <sz val="11"/>
        <color theme="1"/>
        <rFont val="Arial Narrow"/>
        <family val="2"/>
      </rPr>
      <t>Design B should be carried forward. It delivers a much higher PW ($3,502,083.54) and AW ($498,617.91) than Design A, and the IRR of Cash Flow Difference confirms the added investment is economically justified. Despite its higher upfront cost, Design B generates substantially greater overall value.</t>
    </r>
    <r>
      <rPr>
        <b/>
        <sz val="11"/>
        <color theme="1"/>
        <rFont val="Arial Narrow"/>
        <family val="2"/>
      </rPr>
      <t xml:space="preserve">
Exercise 4 (Subsystem Interface Check): </t>
    </r>
    <r>
      <rPr>
        <sz val="11"/>
        <color theme="1"/>
        <rFont val="Arial Narrow"/>
        <family val="2"/>
      </rPr>
      <t>Both subsystems, Facility Security Software and Surveillance &amp; Security Systems, were reviewed for economic consistency. The service life of Facility Security Software is 10 years now and for Surveillance and Security Systems, it is 15 years. We will modify it to make both 15 years. Shared assumptions include 7% nominal discount rate, 2.4% inflation rate, Year 1 implementation, and 24/7 operation. Major cost drivers for Facility Security Software are development, setting up proper networks across the facility, maintenance of the networks by paying salary to Network Engineers and support for software and storage of video recording of cameras, and for Surveillance and Security Systems, cost drivers are electricity consumption, equipment purchase, installation, and maintenance for hardware. Benefits are based on reduced security risks and improved response times.
Two key interface issues were identified. First, there is potential double-counting of risk-reduction benefits since hardware generates the data that enables software-based monitoring. Second, hardware may require mid-life replacement, while software mainly incurs upgrade and maintenance costs.
The group agreed to use the same economic parameters and analysis period, avoid double-counting benefits at the subsystem level, and apply any replacement or timing adjustments consistently across both subsystems before moving to sensitivity analysis.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</si>
</sst>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4" formatCode="0.000%"/>
  </numFmts>
  <fonts count="8" x14ac:knownFonts="1">
    <font>
      <sz val="11"/>
      <color theme="1"/>
      <name val="Aptos Narrow"/>
      <family val="2"/>
      <scheme val="minor"/>
    </font>
    <font>
      <sz val="11"/>
      <color theme="1"/>
      <name val="Arial Narrow"/>
      <family val="2"/>
    </font>
    <font>
      <sz val="11"/>
      <color theme="1"/>
      <name val="Aptos Narrow"/>
      <family val="2"/>
      <scheme val="minor"/>
    </font>
    <font>
      <b/>
      <sz val="12"/>
      <color rgb="FF000000"/>
      <name val="Arial Narrow"/>
      <family val="2"/>
    </font>
    <font>
      <sz val="10"/>
      <color rgb="FF202122"/>
      <name val="Arial Narrow"/>
      <family val="2"/>
    </font>
    <font>
      <b/>
      <sz val="11"/>
      <color theme="1"/>
      <name val="Arial Narrow"/>
      <family val="2"/>
    </font>
    <font>
      <sz val="11"/>
      <color rgb="FFFF0000"/>
      <name val="Arial Narrow"/>
      <family val="2"/>
    </font>
    <font>
      <b/>
      <sz val="11"/>
      <color theme="3" tint="0.249977111117893"/>
      <name val="Arial Narrow"/>
      <family val="2"/>
    </font>
  </fonts>
  <fills count="4">
    <fill>
      <patternFill patternType="none"/>
    </fill>
    <fill>
      <patternFill patternType="gray125"/>
    </fill>
    <fill>
      <patternFill patternType="solid">
        <fgColor rgb="FFD9D9D9"/>
        <bgColor indexed="64"/>
      </patternFill>
    </fill>
    <fill>
      <patternFill patternType="solid">
        <fgColor theme="5"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33">
    <xf numFmtId="0" fontId="0" fillId="0" borderId="0" xfId="0"/>
    <xf numFmtId="0" fontId="1" fillId="0" borderId="0" xfId="0" applyFont="1"/>
    <xf numFmtId="0" fontId="3" fillId="2" borderId="1" xfId="0" applyFont="1" applyFill="1" applyBorder="1" applyAlignment="1">
      <alignment horizontal="justify" vertical="center" wrapText="1"/>
    </xf>
    <xf numFmtId="0" fontId="1" fillId="0" borderId="0" xfId="0" applyFont="1" applyAlignment="1">
      <alignment wrapText="1"/>
    </xf>
    <xf numFmtId="0" fontId="4" fillId="0" borderId="0" xfId="0" applyFont="1" applyAlignment="1">
      <alignment wrapText="1"/>
    </xf>
    <xf numFmtId="0" fontId="5" fillId="0" borderId="1" xfId="0" applyFont="1" applyBorder="1" applyAlignment="1">
      <alignment horizontal="center" vertical="center" wrapText="1"/>
    </xf>
    <xf numFmtId="0" fontId="5" fillId="0" borderId="1" xfId="0" applyFont="1" applyBorder="1" applyAlignment="1">
      <alignment vertical="center" wrapText="1"/>
    </xf>
    <xf numFmtId="0" fontId="5" fillId="0" borderId="1" xfId="0" applyFont="1" applyBorder="1" applyAlignment="1">
      <alignment horizontal="right" vertical="center" wrapText="1"/>
    </xf>
    <xf numFmtId="8" fontId="1" fillId="0" borderId="1" xfId="1" applyNumberFormat="1" applyFont="1" applyBorder="1" applyAlignment="1">
      <alignment horizontal="right" vertical="center" wrapText="1"/>
    </xf>
    <xf numFmtId="8" fontId="1" fillId="0" borderId="0" xfId="0" applyNumberFormat="1" applyFont="1"/>
    <xf numFmtId="8" fontId="6" fillId="0" borderId="1" xfId="0" applyNumberFormat="1" applyFont="1" applyBorder="1" applyAlignment="1">
      <alignment vertical="center" wrapText="1"/>
    </xf>
    <xf numFmtId="8" fontId="1" fillId="0" borderId="1" xfId="0" applyNumberFormat="1" applyFont="1" applyBorder="1" applyAlignment="1">
      <alignment vertical="center" wrapText="1"/>
    </xf>
    <xf numFmtId="0" fontId="5" fillId="0" borderId="3" xfId="0" applyFont="1" applyBorder="1" applyAlignment="1">
      <alignment horizontal="right" vertical="center" wrapText="1"/>
    </xf>
    <xf numFmtId="8" fontId="1" fillId="0" borderId="3" xfId="1" applyNumberFormat="1" applyFont="1" applyBorder="1" applyAlignment="1">
      <alignment horizontal="right" vertical="center" wrapText="1"/>
    </xf>
    <xf numFmtId="0" fontId="5" fillId="0" borderId="1" xfId="0" applyFont="1" applyBorder="1"/>
    <xf numFmtId="8" fontId="1" fillId="0" borderId="1" xfId="0" applyNumberFormat="1" applyFont="1" applyBorder="1"/>
    <xf numFmtId="9" fontId="1" fillId="0" borderId="0" xfId="0" applyNumberFormat="1" applyFont="1"/>
    <xf numFmtId="0" fontId="1" fillId="3" borderId="4" xfId="0" applyFont="1" applyFill="1" applyBorder="1"/>
    <xf numFmtId="8" fontId="1" fillId="3" borderId="4" xfId="0" applyNumberFormat="1" applyFont="1" applyFill="1" applyBorder="1"/>
    <xf numFmtId="0" fontId="1" fillId="3" borderId="1" xfId="0" applyFont="1" applyFill="1" applyBorder="1"/>
    <xf numFmtId="8" fontId="1" fillId="3" borderId="1" xfId="0" applyNumberFormat="1" applyFont="1" applyFill="1" applyBorder="1"/>
    <xf numFmtId="8" fontId="1" fillId="3" borderId="1" xfId="1" applyNumberFormat="1" applyFont="1" applyFill="1" applyBorder="1" applyAlignment="1">
      <alignment horizontal="right" vertical="center" wrapText="1"/>
    </xf>
    <xf numFmtId="9" fontId="1" fillId="0" borderId="0" xfId="2" applyFont="1"/>
    <xf numFmtId="0" fontId="5" fillId="0" borderId="3" xfId="0" applyFont="1" applyBorder="1" applyAlignment="1">
      <alignment wrapText="1"/>
    </xf>
    <xf numFmtId="9" fontId="1" fillId="0" borderId="3" xfId="0" applyNumberFormat="1" applyFont="1" applyBorder="1"/>
    <xf numFmtId="10" fontId="1" fillId="0" borderId="1" xfId="0" applyNumberFormat="1" applyFont="1" applyBorder="1"/>
    <xf numFmtId="164" fontId="1" fillId="0" borderId="0" xfId="0" applyNumberFormat="1" applyFont="1"/>
    <xf numFmtId="0" fontId="1" fillId="0" borderId="1" xfId="0" applyFont="1" applyBorder="1"/>
    <xf numFmtId="0" fontId="1" fillId="0" borderId="1" xfId="0" applyFont="1" applyBorder="1" applyAlignment="1">
      <alignment wrapText="1"/>
    </xf>
    <xf numFmtId="164" fontId="1" fillId="0" borderId="1" xfId="0" applyNumberFormat="1" applyFont="1" applyBorder="1"/>
    <xf numFmtId="0" fontId="1" fillId="0" borderId="0" xfId="0" applyFont="1" applyAlignment="1">
      <alignment horizontal="left" wrapText="1"/>
    </xf>
    <xf numFmtId="0" fontId="1" fillId="0" borderId="2" xfId="0" applyFont="1" applyBorder="1" applyAlignment="1">
      <alignment horizontal="left" vertical="top" wrapText="1"/>
    </xf>
    <xf numFmtId="0" fontId="1" fillId="0" borderId="2" xfId="0" applyFont="1" applyBorder="1" applyAlignment="1">
      <alignment horizontal="left" vertical="top"/>
    </xf>
  </cellXfs>
  <cellStyles count="3">
    <cellStyle name="Currency" xfId="1" builtinId="4"/>
    <cellStyle name="Normal" xfId="0" builtinId="0"/>
    <cellStyle name="Percent" xfId="2" builtinId="5"/>
  </cellStyles>
  <dxfs count="0"/>
  <tableStyles count="0" defaultTableStyle="TableStyleMedium2" defaultPivotStyle="PivotStyleMedium9"/>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 cash flow Design 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'PW AW Comparison'!$E$4</c:f>
              <c:strCache>
                <c:ptCount val="1"/>
                <c:pt idx="0">
                  <c:v>Net cash flow (Nominal)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'PW AW Comparison'!$E$5:$E$14</c:f>
              <c:numCache>
                <c:formatCode>"$"#,##0.00_);[Red]\("$"#,##0.00\)</c:formatCode>
                <c:ptCount val="10"/>
                <c:pt idx="0">
                  <c:v>-68414.464000000007</c:v>
                </c:pt>
                <c:pt idx="1">
                  <c:v>149095.97286399998</c:v>
                </c:pt>
                <c:pt idx="2">
                  <c:v>152674.276212736</c:v>
                </c:pt>
                <c:pt idx="3">
                  <c:v>156338.45884184167</c:v>
                </c:pt>
                <c:pt idx="4">
                  <c:v>160090.58185404589</c:v>
                </c:pt>
                <c:pt idx="5">
                  <c:v>163932.75581854294</c:v>
                </c:pt>
                <c:pt idx="6">
                  <c:v>167867.141958188</c:v>
                </c:pt>
                <c:pt idx="7">
                  <c:v>171895.95336518448</c:v>
                </c:pt>
                <c:pt idx="8">
                  <c:v>176021.45624594891</c:v>
                </c:pt>
                <c:pt idx="9">
                  <c:v>180245.97119585169</c:v>
                </c:pt>
              </c:numCache>
            </c:numRef>
          </c:val>
          <c:extLst>
            <c:ext xmlns:c16="http://schemas.microsoft.com/office/drawing/2014/chart" uri="{C3380CC4-5D6E-409C-BE32-E72D297353CC}">
              <c16:uniqueId val="{00000000-E94D-417F-AE33-592CE72907CB}"/>
            </c:ext>
          </c:extLst>
        </c:ser>
        <c:dLbls>
          <c:showLegendKey val="0"/>
          <c:showVal val="0"/>
          <c:showCatName val="0"/>
          <c:showSerName val="0"/>
          <c:showPercent val="0"/>
          <c:showBubbleSize val="0"/>
        </c:dLbls>
        <c:gapWidth val="219"/>
        <c:overlap val="-27"/>
        <c:axId val="2031746239"/>
        <c:axId val="2031748159"/>
      </c:barChart>
      <c:catAx>
        <c:axId val="20317462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748159"/>
        <c:crosses val="autoZero"/>
        <c:auto val="1"/>
        <c:lblAlgn val="ctr"/>
        <c:lblOffset val="100"/>
        <c:tickLblSkip val="1"/>
        <c:noMultiLvlLbl val="0"/>
      </c:catAx>
      <c:valAx>
        <c:axId val="2031748159"/>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crossAx val="2031746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 cash flow Design 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'PW AW Comparison'!$M$4</c:f>
              <c:strCache>
                <c:ptCount val="1"/>
                <c:pt idx="0">
                  <c:v>Net cash flow (Nominal)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'PW AW Comparison'!$M$5:$M$14</c:f>
              <c:numCache>
                <c:formatCode>"$"#,##0.00_);[Red]\("$"#,##0.00\)</c:formatCode>
                <c:ptCount val="10"/>
                <c:pt idx="0">
                  <c:v>-358367.63136</c:v>
                </c:pt>
                <c:pt idx="1">
                  <c:v>578177.61316863995</c:v>
                </c:pt>
                <c:pt idx="2">
                  <c:v>592053.87588468741</c:v>
                </c:pt>
                <c:pt idx="3">
                  <c:v>606263.16890591988</c:v>
                </c:pt>
                <c:pt idx="4">
                  <c:v>620813.48495966196</c:v>
                </c:pt>
                <c:pt idx="5">
                  <c:v>635713.00859869376</c:v>
                </c:pt>
                <c:pt idx="6">
                  <c:v>650970.12080506259</c:v>
                </c:pt>
                <c:pt idx="7">
                  <c:v>666593.40370438399</c:v>
                </c:pt>
                <c:pt idx="8">
                  <c:v>682591.64539328916</c:v>
                </c:pt>
                <c:pt idx="9">
                  <c:v>698973.84488272807</c:v>
                </c:pt>
              </c:numCache>
            </c:numRef>
          </c:val>
          <c:extLst>
            <c:ext xmlns:c16="http://schemas.microsoft.com/office/drawing/2014/chart" uri="{C3380CC4-5D6E-409C-BE32-E72D297353CC}">
              <c16:uniqueId val="{00000000-475F-4585-AE70-350A42035759}"/>
            </c:ext>
          </c:extLst>
        </c:ser>
        <c:dLbls>
          <c:showLegendKey val="0"/>
          <c:showVal val="0"/>
          <c:showCatName val="0"/>
          <c:showSerName val="0"/>
          <c:showPercent val="0"/>
          <c:showBubbleSize val="0"/>
        </c:dLbls>
        <c:gapWidth val="219"/>
        <c:overlap val="-27"/>
        <c:axId val="2031746239"/>
        <c:axId val="2031748159"/>
      </c:barChart>
      <c:catAx>
        <c:axId val="20317462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748159"/>
        <c:crosses val="autoZero"/>
        <c:auto val="1"/>
        <c:lblAlgn val="ctr"/>
        <c:lblOffset val="100"/>
        <c:tickLblSkip val="1"/>
        <c:noMultiLvlLbl val="0"/>
      </c:catAx>
      <c:valAx>
        <c:axId val="2031748159"/>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crossAx val="2031746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13</xdr:col>
      <xdr:colOff>482600</xdr:colOff>
      <xdr:row>3</xdr:row>
      <xdr:rowOff>152400</xdr:rowOff>
    </xdr:from>
    <xdr:to>
      <xdr:col>27</xdr:col>
      <xdr:colOff>472440</xdr:colOff>
      <xdr:row>16</xdr:row>
      <xdr:rowOff>9525</xdr:rowOff>
    </xdr:to>
    <xdr:graphicFrame macro="">
      <xdr:nvGraphicFramePr>
        <xdr:cNvPr id="6" name="Chart 5">
          <a:extLst>
            <a:ext uri="{FF2B5EF4-FFF2-40B4-BE49-F238E27FC236}">
              <a16:creationId xmlns:a16="http://schemas.microsoft.com/office/drawing/2014/main" id="{8F7224F3-5C12-810C-38AE-3E4662B4A3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495300</xdr:colOff>
      <xdr:row>17</xdr:row>
      <xdr:rowOff>30480</xdr:rowOff>
    </xdr:from>
    <xdr:to>
      <xdr:col>27</xdr:col>
      <xdr:colOff>495300</xdr:colOff>
      <xdr:row>31</xdr:row>
      <xdr:rowOff>133350</xdr:rowOff>
    </xdr:to>
    <xdr:graphicFrame macro="">
      <xdr:nvGraphicFramePr>
        <xdr:cNvPr id="7" name="Chart 6">
          <a:extLst>
            <a:ext uri="{FF2B5EF4-FFF2-40B4-BE49-F238E27FC236}">
              <a16:creationId xmlns:a16="http://schemas.microsoft.com/office/drawing/2014/main" id="{1F081EE1-5CE8-4C07-BF4C-06E29C3CAF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216AE-3926-464E-81B9-CD6B4977DFCE}">
  <dimension ref="A1:M41"/>
  <sheetViews>
    <sheetView tabSelected="1" zoomScale="80" zoomScaleNormal="115" workbookViewId="0">
      <selection activeCell="D40" sqref="D40"/>
    </sheetView>
  </sheetViews>
  <sheetFormatPr defaultRowHeight="13.8" x14ac:dyDescent="0.25"/>
  <cols>
    <col min="1" max="1" width="23.77734375" style="1" customWidth="1"/>
    <col min="2" max="2" width="15.5546875" style="1" customWidth="1"/>
    <col min="3" max="3" width="11.77734375" style="1" bestFit="1" customWidth="1"/>
    <col min="4" max="4" width="11.33203125" style="1" customWidth="1"/>
    <col min="5" max="5" width="16.5546875" style="1" customWidth="1"/>
    <col min="6" max="6" width="8.88671875" style="1"/>
    <col min="7" max="7" width="11.5546875" style="1" bestFit="1" customWidth="1"/>
    <col min="8" max="9" width="8.88671875" style="1"/>
    <col min="10" max="10" width="16.21875" style="1" customWidth="1"/>
    <col min="11" max="11" width="13.5546875" style="1" customWidth="1"/>
    <col min="12" max="12" width="11.21875" style="1" customWidth="1"/>
    <col min="13" max="13" width="15.77734375" style="1" customWidth="1"/>
    <col min="14" max="14" width="8.88671875" style="1"/>
    <col min="15" max="15" width="11.44140625" style="1" customWidth="1"/>
    <col min="16" max="16384" width="8.88671875" style="1"/>
  </cols>
  <sheetData>
    <row r="1" spans="1:13" x14ac:dyDescent="0.25">
      <c r="A1" s="1" t="s">
        <v>0</v>
      </c>
      <c r="B1" s="1" t="s">
        <v>1</v>
      </c>
      <c r="C1" s="1" t="s">
        <v>2</v>
      </c>
      <c r="I1" s="1" t="s">
        <v>0</v>
      </c>
      <c r="J1" s="1" t="s">
        <v>1</v>
      </c>
      <c r="K1" s="1" t="s">
        <v>2</v>
      </c>
    </row>
    <row r="2" spans="1:13" ht="102" customHeight="1" x14ac:dyDescent="0.3">
      <c r="A2" s="3" t="s">
        <v>18</v>
      </c>
      <c r="B2" s="3" t="s">
        <v>19</v>
      </c>
      <c r="C2" s="3" t="s">
        <v>20</v>
      </c>
      <c r="I2" s="4" t="s">
        <v>21</v>
      </c>
      <c r="J2" s="3" t="s">
        <v>22</v>
      </c>
      <c r="K2" s="3" t="s">
        <v>23</v>
      </c>
    </row>
    <row r="3" spans="1:13" x14ac:dyDescent="0.25">
      <c r="A3" s="1" t="s">
        <v>3</v>
      </c>
      <c r="B3" s="1" t="s">
        <v>25</v>
      </c>
      <c r="I3" s="1" t="s">
        <v>4</v>
      </c>
      <c r="J3" s="1" t="s">
        <v>26</v>
      </c>
    </row>
    <row r="4" spans="1:13" ht="41.4" x14ac:dyDescent="0.25">
      <c r="A4" s="5" t="s">
        <v>5</v>
      </c>
      <c r="B4" s="6" t="s">
        <v>6</v>
      </c>
      <c r="C4" s="6" t="s">
        <v>7</v>
      </c>
      <c r="D4" s="6" t="s">
        <v>17</v>
      </c>
      <c r="E4" s="6" t="s">
        <v>8</v>
      </c>
      <c r="I4" s="2" t="s">
        <v>5</v>
      </c>
      <c r="J4" s="6" t="s">
        <v>6</v>
      </c>
      <c r="K4" s="6" t="s">
        <v>7</v>
      </c>
      <c r="L4" s="6" t="s">
        <v>17</v>
      </c>
      <c r="M4" s="6" t="s">
        <v>8</v>
      </c>
    </row>
    <row r="5" spans="1:13" ht="15.6" x14ac:dyDescent="0.25">
      <c r="A5" s="7">
        <v>1</v>
      </c>
      <c r="B5" s="8">
        <v>-25000</v>
      </c>
      <c r="C5" s="8">
        <v>-41811</v>
      </c>
      <c r="D5" s="8">
        <v>0</v>
      </c>
      <c r="E5" s="8">
        <f t="shared" ref="E5:E11" si="0">SUM(B5:D5)*(1+$B$19)^A5</f>
        <v>-68414.464000000007</v>
      </c>
      <c r="G5" s="9"/>
      <c r="I5" s="2">
        <v>1</v>
      </c>
      <c r="J5" s="10">
        <v>-138248</v>
      </c>
      <c r="K5" s="10">
        <v>-211720.39</v>
      </c>
      <c r="L5" s="11">
        <v>0</v>
      </c>
      <c r="M5" s="8">
        <f t="shared" ref="M5:M14" si="1">SUM(J5:L5)*(1+$B$19)^I5</f>
        <v>-358367.63136</v>
      </c>
    </row>
    <row r="6" spans="1:13" ht="15.6" x14ac:dyDescent="0.25">
      <c r="A6" s="7">
        <v>2</v>
      </c>
      <c r="B6" s="8">
        <v>0</v>
      </c>
      <c r="C6" s="8">
        <v>-41811</v>
      </c>
      <c r="D6" s="8">
        <v>184000</v>
      </c>
      <c r="E6" s="8">
        <f>SUM(B6:D6)*(1+$B$19)^A6</f>
        <v>149095.97286399998</v>
      </c>
      <c r="G6" s="9"/>
      <c r="I6" s="2">
        <v>2</v>
      </c>
      <c r="J6" s="11">
        <v>0</v>
      </c>
      <c r="K6" s="10">
        <v>-211720.39</v>
      </c>
      <c r="L6" s="11">
        <v>763113.53</v>
      </c>
      <c r="M6" s="8">
        <f t="shared" si="1"/>
        <v>578177.61316863995</v>
      </c>
    </row>
    <row r="7" spans="1:13" ht="15.6" x14ac:dyDescent="0.25">
      <c r="A7" s="7">
        <v>3</v>
      </c>
      <c r="B7" s="8">
        <v>0</v>
      </c>
      <c r="C7" s="8">
        <v>-41811</v>
      </c>
      <c r="D7" s="8">
        <v>184000</v>
      </c>
      <c r="E7" s="8">
        <f t="shared" si="0"/>
        <v>152674.276212736</v>
      </c>
      <c r="G7" s="9"/>
      <c r="I7" s="2">
        <v>3</v>
      </c>
      <c r="J7" s="11">
        <v>0</v>
      </c>
      <c r="K7" s="10">
        <v>-211720.39</v>
      </c>
      <c r="L7" s="11">
        <v>763113.53</v>
      </c>
      <c r="M7" s="8">
        <f t="shared" si="1"/>
        <v>592053.87588468741</v>
      </c>
    </row>
    <row r="8" spans="1:13" ht="15.6" x14ac:dyDescent="0.25">
      <c r="A8" s="7">
        <v>4</v>
      </c>
      <c r="B8" s="8">
        <v>0</v>
      </c>
      <c r="C8" s="8">
        <v>-41811</v>
      </c>
      <c r="D8" s="8">
        <v>184000</v>
      </c>
      <c r="E8" s="8">
        <f t="shared" si="0"/>
        <v>156338.45884184167</v>
      </c>
      <c r="G8" s="9"/>
      <c r="I8" s="2">
        <v>4</v>
      </c>
      <c r="J8" s="11">
        <v>0</v>
      </c>
      <c r="K8" s="10">
        <v>-211720.39</v>
      </c>
      <c r="L8" s="11">
        <v>763113.53</v>
      </c>
      <c r="M8" s="8">
        <f t="shared" si="1"/>
        <v>606263.16890591988</v>
      </c>
    </row>
    <row r="9" spans="1:13" ht="15.6" x14ac:dyDescent="0.25">
      <c r="A9" s="7">
        <v>5</v>
      </c>
      <c r="B9" s="8">
        <v>0</v>
      </c>
      <c r="C9" s="8">
        <v>-41811</v>
      </c>
      <c r="D9" s="8">
        <v>184000</v>
      </c>
      <c r="E9" s="8">
        <f t="shared" si="0"/>
        <v>160090.58185404589</v>
      </c>
      <c r="G9" s="9" t="s">
        <v>24</v>
      </c>
      <c r="I9" s="2">
        <v>5</v>
      </c>
      <c r="J9" s="11">
        <v>0</v>
      </c>
      <c r="K9" s="10">
        <v>-211720.39</v>
      </c>
      <c r="L9" s="11">
        <v>763113.53</v>
      </c>
      <c r="M9" s="8">
        <f t="shared" si="1"/>
        <v>620813.48495966196</v>
      </c>
    </row>
    <row r="10" spans="1:13" ht="15.6" x14ac:dyDescent="0.25">
      <c r="A10" s="7">
        <v>6</v>
      </c>
      <c r="B10" s="8">
        <v>0</v>
      </c>
      <c r="C10" s="8">
        <v>-41811</v>
      </c>
      <c r="D10" s="8">
        <v>184000</v>
      </c>
      <c r="E10" s="8">
        <f>SUM(B10:D10)*(1+$B$19)^A10</f>
        <v>163932.75581854294</v>
      </c>
      <c r="G10" s="9"/>
      <c r="I10" s="2">
        <v>6</v>
      </c>
      <c r="J10" s="11">
        <v>0</v>
      </c>
      <c r="K10" s="10">
        <v>-211720.39</v>
      </c>
      <c r="L10" s="11">
        <v>763113.53</v>
      </c>
      <c r="M10" s="8">
        <f t="shared" si="1"/>
        <v>635713.00859869376</v>
      </c>
    </row>
    <row r="11" spans="1:13" ht="15.6" x14ac:dyDescent="0.25">
      <c r="A11" s="12">
        <v>7</v>
      </c>
      <c r="B11" s="13">
        <v>0</v>
      </c>
      <c r="C11" s="13">
        <v>-41811</v>
      </c>
      <c r="D11" s="8">
        <v>184000</v>
      </c>
      <c r="E11" s="13">
        <f>SUM(B11:D11)*(1+$B$19)^A11</f>
        <v>167867.141958188</v>
      </c>
      <c r="G11" s="9"/>
      <c r="I11" s="2">
        <v>7</v>
      </c>
      <c r="J11" s="11">
        <v>0</v>
      </c>
      <c r="K11" s="10">
        <v>-211720.39</v>
      </c>
      <c r="L11" s="11">
        <v>763113.53</v>
      </c>
      <c r="M11" s="8">
        <f t="shared" si="1"/>
        <v>650970.12080506259</v>
      </c>
    </row>
    <row r="12" spans="1:13" ht="15.6" x14ac:dyDescent="0.25">
      <c r="A12" s="14">
        <v>8</v>
      </c>
      <c r="B12" s="13">
        <v>0</v>
      </c>
      <c r="C12" s="13">
        <v>-41811</v>
      </c>
      <c r="D12" s="8">
        <v>184000</v>
      </c>
      <c r="E12" s="15">
        <f>SUM(B12:D12)*(1+$B$19)^A12</f>
        <v>171895.95336518448</v>
      </c>
      <c r="G12" s="16"/>
      <c r="I12" s="2">
        <v>8</v>
      </c>
      <c r="J12" s="11">
        <v>0</v>
      </c>
      <c r="K12" s="10">
        <v>-211720.39</v>
      </c>
      <c r="L12" s="11">
        <v>763113.53</v>
      </c>
      <c r="M12" s="8">
        <f t="shared" si="1"/>
        <v>666593.40370438399</v>
      </c>
    </row>
    <row r="13" spans="1:13" ht="15.6" x14ac:dyDescent="0.25">
      <c r="A13" s="14">
        <v>9</v>
      </c>
      <c r="B13" s="13">
        <v>0</v>
      </c>
      <c r="C13" s="13">
        <v>-41811</v>
      </c>
      <c r="D13" s="8">
        <v>184000</v>
      </c>
      <c r="E13" s="15">
        <f t="shared" ref="E13:E14" si="2">SUM(B13:D13)*(1+$B$19)^A13</f>
        <v>176021.45624594891</v>
      </c>
      <c r="I13" s="2">
        <v>9</v>
      </c>
      <c r="J13" s="11">
        <v>0</v>
      </c>
      <c r="K13" s="10">
        <v>-211720.39</v>
      </c>
      <c r="L13" s="11">
        <v>763113.53</v>
      </c>
      <c r="M13" s="8">
        <f t="shared" si="1"/>
        <v>682591.64539328916</v>
      </c>
    </row>
    <row r="14" spans="1:13" ht="15.6" x14ac:dyDescent="0.25">
      <c r="A14" s="14">
        <v>10</v>
      </c>
      <c r="B14" s="8">
        <v>0</v>
      </c>
      <c r="C14" s="8">
        <v>-41811</v>
      </c>
      <c r="D14" s="8">
        <v>184000</v>
      </c>
      <c r="E14" s="15">
        <f t="shared" si="2"/>
        <v>180245.97119585169</v>
      </c>
      <c r="I14" s="2">
        <v>10</v>
      </c>
      <c r="J14" s="11">
        <v>0</v>
      </c>
      <c r="K14" s="10">
        <v>-211720.39</v>
      </c>
      <c r="L14" s="11">
        <v>763113.53</v>
      </c>
      <c r="M14" s="8">
        <f t="shared" si="1"/>
        <v>698973.84488272807</v>
      </c>
    </row>
    <row r="15" spans="1:13" x14ac:dyDescent="0.25">
      <c r="D15" s="17" t="s">
        <v>9</v>
      </c>
      <c r="E15" s="18">
        <f>NPV(B18,E5:E14)</f>
        <v>925518.83472099202</v>
      </c>
      <c r="L15" s="19" t="s">
        <v>9</v>
      </c>
      <c r="M15" s="20">
        <f>NPV(B18,M5:M14)</f>
        <v>3502083.5368674113</v>
      </c>
    </row>
    <row r="16" spans="1:13" x14ac:dyDescent="0.25">
      <c r="D16" s="19" t="s">
        <v>10</v>
      </c>
      <c r="E16" s="21">
        <f>-PMT(B18,COUNTA(A5:A14),E15)</f>
        <v>131773.06041471547</v>
      </c>
      <c r="L16" s="19" t="s">
        <v>10</v>
      </c>
      <c r="M16" s="21">
        <f>-PMT(B18,COUNTA(I5:I14),M15)</f>
        <v>498617.90832179895</v>
      </c>
    </row>
    <row r="17" spans="1:13" x14ac:dyDescent="0.25">
      <c r="D17" s="1" t="s">
        <v>11</v>
      </c>
      <c r="E17" s="22">
        <f>IRR(E5:E14)</f>
        <v>2.2032288603590868</v>
      </c>
      <c r="L17" s="1" t="s">
        <v>11</v>
      </c>
      <c r="M17" s="16">
        <f>IRR(M5:M14)</f>
        <v>1.637040619140449</v>
      </c>
    </row>
    <row r="18" spans="1:13" ht="27.6" x14ac:dyDescent="0.25">
      <c r="A18" s="23" t="s">
        <v>12</v>
      </c>
      <c r="B18" s="24">
        <v>7.0000000000000007E-2</v>
      </c>
    </row>
    <row r="19" spans="1:13" x14ac:dyDescent="0.25">
      <c r="A19" s="14" t="s">
        <v>13</v>
      </c>
      <c r="B19" s="25">
        <v>2.4E-2</v>
      </c>
    </row>
    <row r="21" spans="1:13" x14ac:dyDescent="0.25">
      <c r="A21" s="1" t="s">
        <v>27</v>
      </c>
      <c r="C21" s="1" t="s">
        <v>28</v>
      </c>
    </row>
    <row r="22" spans="1:13" ht="45" customHeight="1" x14ac:dyDescent="0.25">
      <c r="A22" s="30" t="s">
        <v>14</v>
      </c>
      <c r="B22" s="30"/>
      <c r="C22" s="30"/>
      <c r="D22" s="30"/>
      <c r="E22" s="30"/>
      <c r="F22" s="31" t="s">
        <v>29</v>
      </c>
      <c r="G22" s="32"/>
      <c r="H22" s="32"/>
      <c r="I22" s="32"/>
      <c r="J22" s="32"/>
      <c r="K22" s="32"/>
      <c r="L22" s="32"/>
      <c r="M22" s="32"/>
    </row>
    <row r="23" spans="1:13" x14ac:dyDescent="0.25">
      <c r="F23" s="32"/>
      <c r="G23" s="32"/>
      <c r="H23" s="32"/>
      <c r="I23" s="32"/>
      <c r="J23" s="32"/>
      <c r="K23" s="32"/>
      <c r="L23" s="32"/>
      <c r="M23" s="32"/>
    </row>
    <row r="24" spans="1:13" ht="41.4" customHeight="1" x14ac:dyDescent="0.25">
      <c r="A24" s="27" t="s">
        <v>5</v>
      </c>
      <c r="B24" s="28" t="s">
        <v>15</v>
      </c>
      <c r="F24" s="32"/>
      <c r="G24" s="32"/>
      <c r="H24" s="32"/>
      <c r="I24" s="32"/>
      <c r="J24" s="32"/>
      <c r="K24" s="32"/>
      <c r="L24" s="32"/>
      <c r="M24" s="32"/>
    </row>
    <row r="25" spans="1:13" x14ac:dyDescent="0.25">
      <c r="A25" s="27">
        <v>1</v>
      </c>
      <c r="B25" s="15">
        <f>M5-E5</f>
        <v>-289953.16735999996</v>
      </c>
      <c r="F25" s="32"/>
      <c r="G25" s="32"/>
      <c r="H25" s="32"/>
      <c r="I25" s="32"/>
      <c r="J25" s="32"/>
      <c r="K25" s="32"/>
      <c r="L25" s="32"/>
      <c r="M25" s="32"/>
    </row>
    <row r="26" spans="1:13" x14ac:dyDescent="0.25">
      <c r="A26" s="27">
        <v>2</v>
      </c>
      <c r="B26" s="15">
        <f>M6-E6</f>
        <v>429081.64030463994</v>
      </c>
      <c r="F26" s="32"/>
      <c r="G26" s="32"/>
      <c r="H26" s="32"/>
      <c r="I26" s="32"/>
      <c r="J26" s="32"/>
      <c r="K26" s="32"/>
      <c r="L26" s="32"/>
      <c r="M26" s="32"/>
    </row>
    <row r="27" spans="1:13" ht="14.55" customHeight="1" x14ac:dyDescent="0.25">
      <c r="A27" s="27">
        <v>3</v>
      </c>
      <c r="B27" s="15">
        <f>M7-E7</f>
        <v>439379.59967195138</v>
      </c>
      <c r="F27" s="32"/>
      <c r="G27" s="32"/>
      <c r="H27" s="32"/>
      <c r="I27" s="32"/>
      <c r="J27" s="32"/>
      <c r="K27" s="32"/>
      <c r="L27" s="32"/>
      <c r="M27" s="32"/>
    </row>
    <row r="28" spans="1:13" ht="14.55" customHeight="1" x14ac:dyDescent="0.25">
      <c r="A28" s="27">
        <v>4</v>
      </c>
      <c r="B28" s="15">
        <f t="shared" ref="B28:B31" si="3">M8-E8</f>
        <v>449924.71006407822</v>
      </c>
      <c r="F28" s="32"/>
      <c r="G28" s="32"/>
      <c r="H28" s="32"/>
      <c r="I28" s="32"/>
      <c r="J28" s="32"/>
      <c r="K28" s="32"/>
      <c r="L28" s="32"/>
      <c r="M28" s="32"/>
    </row>
    <row r="29" spans="1:13" ht="14.55" customHeight="1" x14ac:dyDescent="0.25">
      <c r="A29" s="27">
        <v>5</v>
      </c>
      <c r="B29" s="15">
        <f t="shared" si="3"/>
        <v>460722.9031056161</v>
      </c>
      <c r="F29" s="32"/>
      <c r="G29" s="32"/>
      <c r="H29" s="32"/>
      <c r="I29" s="32"/>
      <c r="J29" s="32"/>
      <c r="K29" s="32"/>
      <c r="L29" s="32"/>
      <c r="M29" s="32"/>
    </row>
    <row r="30" spans="1:13" ht="14.55" customHeight="1" x14ac:dyDescent="0.25">
      <c r="A30" s="27">
        <v>6</v>
      </c>
      <c r="B30" s="15">
        <f t="shared" si="3"/>
        <v>471780.25278015085</v>
      </c>
      <c r="F30" s="32"/>
      <c r="G30" s="32"/>
      <c r="H30" s="32"/>
      <c r="I30" s="32"/>
      <c r="J30" s="32"/>
      <c r="K30" s="32"/>
      <c r="L30" s="32"/>
      <c r="M30" s="32"/>
    </row>
    <row r="31" spans="1:13" ht="14.55" customHeight="1" x14ac:dyDescent="0.25">
      <c r="A31" s="27">
        <v>7</v>
      </c>
      <c r="B31" s="15">
        <f t="shared" si="3"/>
        <v>483102.97884687455</v>
      </c>
      <c r="F31" s="32"/>
      <c r="G31" s="32"/>
      <c r="H31" s="32"/>
      <c r="I31" s="32"/>
      <c r="J31" s="32"/>
      <c r="K31" s="32"/>
      <c r="L31" s="32"/>
      <c r="M31" s="32"/>
    </row>
    <row r="32" spans="1:13" x14ac:dyDescent="0.25">
      <c r="A32" s="27">
        <v>8</v>
      </c>
      <c r="B32" s="15">
        <f>M12-E12</f>
        <v>494697.45033919951</v>
      </c>
      <c r="C32" s="26"/>
      <c r="F32" s="32"/>
      <c r="G32" s="32"/>
      <c r="H32" s="32"/>
      <c r="I32" s="32"/>
      <c r="J32" s="32"/>
      <c r="K32" s="32"/>
      <c r="L32" s="32"/>
      <c r="M32" s="32"/>
    </row>
    <row r="33" spans="1:13" ht="14.55" customHeight="1" x14ac:dyDescent="0.25">
      <c r="A33" s="27">
        <v>9</v>
      </c>
      <c r="B33" s="15">
        <f>M13-E13</f>
        <v>506570.18914734025</v>
      </c>
      <c r="F33" s="32"/>
      <c r="G33" s="32"/>
      <c r="H33" s="32"/>
      <c r="I33" s="32"/>
      <c r="J33" s="32"/>
      <c r="K33" s="32"/>
      <c r="L33" s="32"/>
      <c r="M33" s="32"/>
    </row>
    <row r="34" spans="1:13" ht="14.55" customHeight="1" x14ac:dyDescent="0.25">
      <c r="A34" s="27">
        <v>10</v>
      </c>
      <c r="B34" s="15">
        <f>M14-E14</f>
        <v>518727.87368687638</v>
      </c>
      <c r="F34" s="32"/>
      <c r="G34" s="32"/>
      <c r="H34" s="32"/>
      <c r="I34" s="32"/>
      <c r="J34" s="32"/>
      <c r="K34" s="32"/>
      <c r="L34" s="32"/>
      <c r="M34" s="32"/>
    </row>
    <row r="35" spans="1:13" ht="14.55" customHeight="1" x14ac:dyDescent="0.25">
      <c r="A35" s="27" t="s">
        <v>16</v>
      </c>
      <c r="B35" s="29">
        <f>IRR(B25:B34)</f>
        <v>1.5033563750584484</v>
      </c>
      <c r="F35" s="32"/>
      <c r="G35" s="32"/>
      <c r="H35" s="32"/>
      <c r="I35" s="32"/>
      <c r="J35" s="32"/>
      <c r="K35" s="32"/>
      <c r="L35" s="32"/>
      <c r="M35" s="32"/>
    </row>
    <row r="36" spans="1:13" ht="14.55" customHeight="1" x14ac:dyDescent="0.25">
      <c r="F36" s="32"/>
      <c r="G36" s="32"/>
      <c r="H36" s="32"/>
      <c r="I36" s="32"/>
      <c r="J36" s="32"/>
      <c r="K36" s="32"/>
      <c r="L36" s="32"/>
      <c r="M36" s="32"/>
    </row>
    <row r="37" spans="1:13" ht="14.55" customHeight="1" x14ac:dyDescent="0.25"/>
    <row r="38" spans="1:13" ht="14.55" customHeight="1" x14ac:dyDescent="0.25"/>
    <row r="39" spans="1:13" ht="14.55" customHeight="1" x14ac:dyDescent="0.25"/>
    <row r="40" spans="1:13" ht="14.55" customHeight="1" x14ac:dyDescent="0.25"/>
    <row r="41" spans="1:13" ht="14.55" customHeight="1" x14ac:dyDescent="0.25"/>
  </sheetData>
  <mergeCells count="2">
    <mergeCell ref="A22:E22"/>
    <mergeCell ref="F22:M36"/>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9BC17E552CE50459814B45CAB38E643" ma:contentTypeVersion="16" ma:contentTypeDescription="Create a new document." ma:contentTypeScope="" ma:versionID="a2c4a0a3be967a154ef3fcd83466f29a">
  <xsd:schema xmlns:xsd="http://www.w3.org/2001/XMLSchema" xmlns:xs="http://www.w3.org/2001/XMLSchema" xmlns:p="http://schemas.microsoft.com/office/2006/metadata/properties" xmlns:ns2="006c7cb9-3c36-40e5-a5d9-86e0029a058a" xmlns:ns3="a5db53bf-fe91-4cb9-a657-3e0c4c7ee7a0" targetNamespace="http://schemas.microsoft.com/office/2006/metadata/properties" ma:root="true" ma:fieldsID="4cb9171e460dc7c1a5cf1b2c367a13c3" ns2:_="" ns3:_="">
    <xsd:import namespace="006c7cb9-3c36-40e5-a5d9-86e0029a058a"/>
    <xsd:import namespace="a5db53bf-fe91-4cb9-a657-3e0c4c7ee7a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DateTaken" minOccurs="0"/>
                <xsd:element ref="ns3:MediaServiceObjectDetectorVersions" minOccurs="0"/>
                <xsd:element ref="ns3:MediaServiceGenerationTime" minOccurs="0"/>
                <xsd:element ref="ns3:MediaServiceEventHashCode" minOccurs="0"/>
                <xsd:element ref="ns3:MediaLengthInSeconds" minOccurs="0"/>
                <xsd:element ref="ns3:MediaServiceLocation" minOccurs="0"/>
                <xsd:element ref="ns3:lcf76f155ced4ddcb4097134ff3c332f" minOccurs="0"/>
                <xsd:element ref="ns2:TaxCatchAll" minOccurs="0"/>
                <xsd:element ref="ns3:MediaServiceOCR"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06c7cb9-3c36-40e5-a5d9-86e0029a058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cc6cf274-fc21-4180-95bc-11d99ba0f523}" ma:internalName="TaxCatchAll" ma:showField="CatchAllData" ma:web="006c7cb9-3c36-40e5-a5d9-86e0029a058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5db53bf-fe91-4cb9-a657-3e0c4c7ee7a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18" nillable="true" ma:displayName="Location" ma:indexed="true" ma:internalName="MediaServiceLocatio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a073764d-e844-48d8-8cbc-d63b9d952867"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06c7cb9-3c36-40e5-a5d9-86e0029a058a" xsi:nil="true"/>
    <lcf76f155ced4ddcb4097134ff3c332f xmlns="a5db53bf-fe91-4cb9-a657-3e0c4c7ee7a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185EB5F-2BA9-4881-A2DF-9DA3A721266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06c7cb9-3c36-40e5-a5d9-86e0029a058a"/>
    <ds:schemaRef ds:uri="a5db53bf-fe91-4cb9-a657-3e0c4c7ee7a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8DC4FED-1847-4410-B188-B279FB52EC83}">
  <ds:schemaRefs>
    <ds:schemaRef ds:uri="http://schemas.microsoft.com/sharepoint/v3/contenttype/forms"/>
  </ds:schemaRefs>
</ds:datastoreItem>
</file>

<file path=customXml/itemProps3.xml><?xml version="1.0" encoding="utf-8"?>
<ds:datastoreItem xmlns:ds="http://schemas.openxmlformats.org/officeDocument/2006/customXml" ds:itemID="{4AFE64AE-A369-4EEB-8916-2CAECBDB78AF}">
  <ds:schemaRefs>
    <ds:schemaRef ds:uri="http://schemas.microsoft.com/office/infopath/2007/PartnerControls"/>
    <ds:schemaRef ds:uri="a5db53bf-fe91-4cb9-a657-3e0c4c7ee7a0"/>
    <ds:schemaRef ds:uri="http://schemas.microsoft.com/office/2006/metadata/properties"/>
    <ds:schemaRef ds:uri="http://purl.org/dc/terms/"/>
    <ds:schemaRef ds:uri="http://schemas.microsoft.com/office/2006/documentManagement/types"/>
    <ds:schemaRef ds:uri="http://purl.org/dc/elements/1.1/"/>
    <ds:schemaRef ds:uri="http://schemas.openxmlformats.org/package/2006/metadata/core-properties"/>
    <ds:schemaRef ds:uri="006c7cb9-3c36-40e5-a5d9-86e0029a058a"/>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PW AW Comparison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Tridib Banik</dc:creator>
  <cp:keywords/>
  <dc:description/>
  <cp:lastModifiedBy>Tridib Banik</cp:lastModifiedBy>
  <cp:revision/>
  <dcterms:created xsi:type="dcterms:W3CDTF">2025-09-23T15:37:39Z</dcterms:created>
  <dcterms:modified xsi:type="dcterms:W3CDTF">2026-02-23T15:11:02Z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0x01010069BC17E552CE50459814B45CAB38E643</vt:lpwstr>
  </property>
  <property fmtid="{D5CDD505-2E9C-101B-9397-08002B2CF9AE}" pid="3" name="MediaServiceImageTags">
    <vt:lpwstr/>
  </property>
</Properties>
</file>