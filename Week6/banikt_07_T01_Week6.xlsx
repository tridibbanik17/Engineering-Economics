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OWNER\Downloads\"/>
    </mc:Choice>
  </mc:AlternateContent>
  <xr:revisionPtr revIDLastSave="0" documentId="8_{9CA5728A-00B9-4BCF-9189-A356FB685A60}" xr6:coauthVersionLast="47" xr6:coauthVersionMax="47" xr10:uidLastSave="{00000000-0000-0000-0000-000000000000}"/>
  <bookViews>
    <workbookView xWindow="-108" yWindow="-108" windowWidth="23256" windowHeight="12456" xr2:uid="{00000000-000D-0000-FFFF-FFFF00000000}"/>
  </bookViews>
  <sheets>
    <sheet name="PW AW Comparison" sheetId="1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6" i="14" l="1"/>
  <c r="M15" i="14"/>
  <c r="E15" i="14"/>
  <c r="E16" i="14"/>
  <c r="E14" i="14"/>
  <c r="E13" i="14"/>
  <c r="E12" i="14"/>
  <c r="E7" i="14"/>
  <c r="E8" i="14"/>
  <c r="E9" i="14"/>
  <c r="E10" i="14"/>
  <c r="E11" i="14"/>
  <c r="E6" i="14"/>
  <c r="E5" i="14"/>
</calcChain>
</file>

<file path=xl/sharedStrings.xml><?xml version="1.0" encoding="utf-8"?>
<sst xmlns="http://schemas.openxmlformats.org/spreadsheetml/2006/main" count="45" uniqueCount="25">
  <si>
    <t>Student:</t>
  </si>
  <si>
    <t>Subsystem:</t>
  </si>
  <si>
    <t>Design:</t>
  </si>
  <si>
    <t>*If in a group of three</t>
  </si>
  <si>
    <t>Nominal Annual Discount Rate</t>
  </si>
  <si>
    <t>Design A</t>
  </si>
  <si>
    <t>Design B</t>
  </si>
  <si>
    <t>Design C</t>
  </si>
  <si>
    <t>Year</t>
  </si>
  <si>
    <t>CapEx</t>
  </si>
  <si>
    <t>OpEx</t>
  </si>
  <si>
    <t>Monetized benefits</t>
  </si>
  <si>
    <t>Net cash flow</t>
  </si>
  <si>
    <t>PW</t>
  </si>
  <si>
    <t>AW</t>
  </si>
  <si>
    <t>You are expected to compare the two/three subsystem designs you and your partner(s) developed.</t>
  </si>
  <si>
    <t>Tridib Banik</t>
  </si>
  <si>
    <t>Jacob Brodersen</t>
  </si>
  <si>
    <t>Baseline</t>
  </si>
  <si>
    <t xml:space="preserve">Facility Security Software </t>
  </si>
  <si>
    <t>Facility Security Software</t>
  </si>
  <si>
    <t>Proposed Facility Security Software System</t>
  </si>
  <si>
    <t>Note: Only 2 members in the subgroup.</t>
  </si>
  <si>
    <t>Controlling Camera and having easy to use dashboards for security personnels</t>
  </si>
  <si>
    <t>Protect the facility from data breaches and other cybersecurity attacks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</si>
</sst>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Red]\-&quot;$&quot;#,##0"/>
    <numFmt numFmtId="8" formatCode="&quot;$&quot;#,##0.00;[Red]\-&quot;$&quot;#,##0.00"/>
    <numFmt numFmtId="44" formatCode="_-&quot;$&quot;* #,##0.00_-;\-&quot;$&quot;* #,##0.00_-;_-&quot;$&quot;* &quot;-&quot;??_-;_-@_-"/>
  </numFmts>
  <fonts count="10" x14ac:knownFonts="1">
    <font>
      <sz val="11"/>
      <color theme="1"/>
      <name val="Aptos Narrow"/>
      <family val="2"/>
      <scheme val="minor"/>
    </font>
    <font>
      <sz val="11"/>
      <color theme="1"/>
      <name val="Arial Narrow"/>
      <family val="2"/>
    </font>
    <font>
      <b/>
      <sz val="11"/>
      <color theme="1"/>
      <name val="Aptos Narrow"/>
      <family val="2"/>
      <scheme val="minor"/>
    </font>
    <font>
      <sz val="11"/>
      <color theme="1"/>
      <name val="Aptos Narrow"/>
      <family val="2"/>
      <scheme val="minor"/>
    </font>
    <font>
      <b/>
      <sz val="12"/>
      <color rgb="FF000000"/>
      <name val="Arial Narrow"/>
      <family val="2"/>
    </font>
    <font>
      <sz val="12"/>
      <color theme="1"/>
      <name val="Arial Narrow"/>
      <family val="2"/>
    </font>
    <font>
      <sz val="12"/>
      <color rgb="FFEE0000"/>
      <name val="Arial Narrow"/>
      <family val="2"/>
    </font>
    <font>
      <b/>
      <sz val="11"/>
      <color theme="1"/>
      <name val="Arial Narrow"/>
      <family val="2"/>
    </font>
    <font>
      <sz val="10"/>
      <color rgb="FF202122"/>
      <name val="Arial Narrow"/>
      <family val="2"/>
    </font>
    <font>
      <sz val="11"/>
      <color rgb="FFFF0000"/>
      <name val="Aptos Narrow"/>
      <family val="2"/>
      <scheme val="minor"/>
    </font>
  </fonts>
  <fills count="5">
    <fill>
      <patternFill patternType="none"/>
    </fill>
    <fill>
      <patternFill patternType="gray125"/>
    </fill>
    <fill>
      <patternFill patternType="solid">
        <fgColor rgb="FFD9D9D9"/>
        <bgColor indexed="64"/>
      </patternFill>
    </fill>
    <fill>
      <patternFill patternType="solid">
        <fgColor theme="5" tint="0.79998168889431442"/>
        <bgColor indexed="64"/>
      </patternFill>
    </fill>
    <fill>
      <patternFill patternType="solid">
        <fgColor theme="0"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44" fontId="3" fillId="0" borderId="0" applyFont="0" applyFill="0" applyBorder="0" applyAlignment="0" applyProtection="0"/>
  </cellStyleXfs>
  <cellXfs count="29">
    <xf numFmtId="0" fontId="0" fillId="0" borderId="0" xfId="0"/>
    <xf numFmtId="0" fontId="1" fillId="0" borderId="0" xfId="0" applyFont="1"/>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right" vertical="center" wrapText="1"/>
    </xf>
    <xf numFmtId="0" fontId="4" fillId="2" borderId="1" xfId="0" applyFont="1" applyFill="1" applyBorder="1" applyAlignment="1">
      <alignment horizontal="justify" vertical="center" wrapText="1"/>
    </xf>
    <xf numFmtId="6" fontId="6" fillId="0" borderId="1" xfId="0" applyNumberFormat="1" applyFont="1" applyBorder="1" applyAlignment="1">
      <alignment horizontal="left" vertical="center" wrapText="1"/>
    </xf>
    <xf numFmtId="6" fontId="5" fillId="0" borderId="1" xfId="0" applyNumberFormat="1" applyFont="1" applyBorder="1" applyAlignment="1">
      <alignment horizontal="left" vertical="center" wrapText="1"/>
    </xf>
    <xf numFmtId="8" fontId="0" fillId="0" borderId="1" xfId="1" applyNumberFormat="1" applyFont="1" applyBorder="1" applyAlignment="1">
      <alignment horizontal="right" vertical="center" wrapText="1"/>
    </xf>
    <xf numFmtId="8" fontId="3" fillId="0" borderId="1" xfId="1" applyNumberFormat="1" applyFont="1" applyBorder="1" applyAlignment="1">
      <alignment horizontal="right" vertical="center" wrapText="1"/>
    </xf>
    <xf numFmtId="0" fontId="0" fillId="3" borderId="1" xfId="0" applyFill="1" applyBorder="1"/>
    <xf numFmtId="8" fontId="0" fillId="3" borderId="1" xfId="0" applyNumberFormat="1" applyFill="1" applyBorder="1"/>
    <xf numFmtId="8" fontId="3" fillId="3" borderId="1" xfId="1" applyNumberFormat="1" applyFont="1" applyFill="1" applyBorder="1" applyAlignment="1">
      <alignment horizontal="right" vertical="center" wrapText="1"/>
    </xf>
    <xf numFmtId="0" fontId="2" fillId="0" borderId="1" xfId="0" applyFont="1" applyBorder="1" applyAlignment="1">
      <alignment wrapText="1"/>
    </xf>
    <xf numFmtId="9" fontId="2" fillId="0" borderId="1" xfId="0" applyNumberFormat="1" applyFont="1" applyBorder="1"/>
    <xf numFmtId="9" fontId="0" fillId="0" borderId="0" xfId="0" applyNumberFormat="1"/>
    <xf numFmtId="8" fontId="0" fillId="0" borderId="0" xfId="0" applyNumberFormat="1"/>
    <xf numFmtId="0" fontId="2" fillId="0" borderId="0" xfId="0" applyFont="1" applyAlignment="1">
      <alignment wrapText="1"/>
    </xf>
    <xf numFmtId="0" fontId="7" fillId="0" borderId="0" xfId="0" applyFont="1"/>
    <xf numFmtId="0" fontId="1" fillId="0" borderId="0" xfId="0" applyFont="1" applyAlignment="1">
      <alignment wrapText="1"/>
    </xf>
    <xf numFmtId="0" fontId="8" fillId="0" borderId="0" xfId="0" applyFont="1" applyAlignment="1">
      <alignment wrapText="1"/>
    </xf>
    <xf numFmtId="0" fontId="0" fillId="0" borderId="0" xfId="0" applyAlignment="1">
      <alignment wrapText="1"/>
    </xf>
    <xf numFmtId="0" fontId="0" fillId="0" borderId="0" xfId="0" applyAlignment="1">
      <alignment horizontal="left" wrapText="1"/>
    </xf>
    <xf numFmtId="0" fontId="4" fillId="4" borderId="1" xfId="0" applyFont="1" applyFill="1" applyBorder="1" applyAlignment="1">
      <alignment horizontal="justify" vertical="center" wrapText="1"/>
    </xf>
    <xf numFmtId="0" fontId="0" fillId="3" borderId="2" xfId="0" applyFill="1" applyBorder="1"/>
    <xf numFmtId="8" fontId="0" fillId="3" borderId="2" xfId="0" applyNumberFormat="1" applyFill="1" applyBorder="1"/>
    <xf numFmtId="0" fontId="2" fillId="4" borderId="1" xfId="0" applyFont="1" applyFill="1" applyBorder="1" applyAlignment="1">
      <alignment vertical="center" wrapText="1"/>
    </xf>
    <xf numFmtId="8" fontId="9" fillId="0" borderId="1" xfId="0" applyNumberFormat="1" applyFont="1" applyBorder="1" applyAlignment="1">
      <alignment vertical="center" wrapText="1"/>
    </xf>
    <xf numFmtId="8" fontId="0" fillId="0" borderId="1" xfId="0" applyNumberFormat="1" applyBorder="1" applyAlignment="1">
      <alignment vertical="center" wrapText="1"/>
    </xf>
  </cellXfs>
  <cellStyles count="2">
    <cellStyle name="Currency" xfId="1" builtinId="4"/>
    <cellStyle name="Normal" xfId="0" builtinId="0"/>
  </cellStyles>
  <dxfs count="0"/>
  <tableStyles count="0" defaultTableStyle="TableStyleMedium2" defaultPivotStyle="PivotStyleMedium9"/>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cash flow Design 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'PW AW Comparison'!$E$4</c:f>
              <c:strCache>
                <c:ptCount val="1"/>
                <c:pt idx="0">
                  <c:v>Net cash flow</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'PW AW Comparison'!$E$5:$E$11</c:f>
              <c:numCache>
                <c:formatCode>"$"#,##0.00_);[Red]\("$"#,##0.00\)</c:formatCode>
                <c:ptCount val="7"/>
                <c:pt idx="0">
                  <c:v>-66811</c:v>
                </c:pt>
                <c:pt idx="1">
                  <c:v>142189</c:v>
                </c:pt>
                <c:pt idx="2">
                  <c:v>142189</c:v>
                </c:pt>
                <c:pt idx="3">
                  <c:v>142189</c:v>
                </c:pt>
                <c:pt idx="4">
                  <c:v>142189</c:v>
                </c:pt>
                <c:pt idx="5">
                  <c:v>142189</c:v>
                </c:pt>
                <c:pt idx="6">
                  <c:v>142189</c:v>
                </c:pt>
              </c:numCache>
            </c:numRef>
          </c:val>
          <c:extLst>
            <c:ext xmlns:c16="http://schemas.microsoft.com/office/drawing/2014/chart" uri="{C3380CC4-5D6E-409C-BE32-E72D297353CC}">
              <c16:uniqueId val="{00000000-E94D-417F-AE33-592CE72907CB}"/>
            </c:ext>
          </c:extLst>
        </c:ser>
        <c:dLbls>
          <c:showLegendKey val="0"/>
          <c:showVal val="0"/>
          <c:showCatName val="0"/>
          <c:showSerName val="0"/>
          <c:showPercent val="0"/>
          <c:showBubbleSize val="0"/>
        </c:dLbls>
        <c:gapWidth val="219"/>
        <c:overlap val="-27"/>
        <c:axId val="2031746239"/>
        <c:axId val="2031748159"/>
      </c:barChart>
      <c:catAx>
        <c:axId val="2031746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748159"/>
        <c:crosses val="autoZero"/>
        <c:auto val="1"/>
        <c:lblAlgn val="ctr"/>
        <c:lblOffset val="100"/>
        <c:tickLblSkip val="1"/>
        <c:noMultiLvlLbl val="0"/>
      </c:catAx>
      <c:valAx>
        <c:axId val="2031748159"/>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crossAx val="203174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cash flow Design 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'PW AW Comparison'!$M$4</c:f>
              <c:strCache>
                <c:ptCount val="1"/>
                <c:pt idx="0">
                  <c:v>Net cash flow</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'PW AW Comparison'!$M$5:$M$14</c:f>
              <c:numCache>
                <c:formatCode>"$"#,##0.00_);[Red]\("$"#,##0.00\)</c:formatCode>
                <c:ptCount val="10"/>
                <c:pt idx="0">
                  <c:v>-349968.39</c:v>
                </c:pt>
                <c:pt idx="1">
                  <c:v>551393.14</c:v>
                </c:pt>
                <c:pt idx="2">
                  <c:v>551393.14</c:v>
                </c:pt>
                <c:pt idx="3">
                  <c:v>551393.14</c:v>
                </c:pt>
                <c:pt idx="4">
                  <c:v>551393.14</c:v>
                </c:pt>
                <c:pt idx="5">
                  <c:v>551393.14</c:v>
                </c:pt>
                <c:pt idx="6">
                  <c:v>551393.14</c:v>
                </c:pt>
                <c:pt idx="7">
                  <c:v>551393.14</c:v>
                </c:pt>
                <c:pt idx="8">
                  <c:v>551393.14</c:v>
                </c:pt>
                <c:pt idx="9">
                  <c:v>551393.14</c:v>
                </c:pt>
              </c:numCache>
            </c:numRef>
          </c:val>
          <c:extLst>
            <c:ext xmlns:c16="http://schemas.microsoft.com/office/drawing/2014/chart" uri="{C3380CC4-5D6E-409C-BE32-E72D297353CC}">
              <c16:uniqueId val="{00000000-475F-4585-AE70-350A42035759}"/>
            </c:ext>
          </c:extLst>
        </c:ser>
        <c:dLbls>
          <c:showLegendKey val="0"/>
          <c:showVal val="0"/>
          <c:showCatName val="0"/>
          <c:showSerName val="0"/>
          <c:showPercent val="0"/>
          <c:showBubbleSize val="0"/>
        </c:dLbls>
        <c:gapWidth val="219"/>
        <c:overlap val="-27"/>
        <c:axId val="2031746239"/>
        <c:axId val="2031748159"/>
      </c:barChart>
      <c:catAx>
        <c:axId val="2031746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748159"/>
        <c:crosses val="autoZero"/>
        <c:auto val="1"/>
        <c:lblAlgn val="ctr"/>
        <c:lblOffset val="100"/>
        <c:tickLblSkip val="1"/>
        <c:noMultiLvlLbl val="0"/>
      </c:catAx>
      <c:valAx>
        <c:axId val="2031748159"/>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crossAx val="2031746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20</xdr:col>
      <xdr:colOff>438150</xdr:colOff>
      <xdr:row>3</xdr:row>
      <xdr:rowOff>144462</xdr:rowOff>
    </xdr:from>
    <xdr:to>
      <xdr:col>29</xdr:col>
      <xdr:colOff>563880</xdr:colOff>
      <xdr:row>15</xdr:row>
      <xdr:rowOff>152400</xdr:rowOff>
    </xdr:to>
    <xdr:sp macro="" textlink="">
      <xdr:nvSpPr>
        <xdr:cNvPr id="5" name="TextBox 4">
          <a:extLst>
            <a:ext uri="{FF2B5EF4-FFF2-40B4-BE49-F238E27FC236}">
              <a16:creationId xmlns:a16="http://schemas.microsoft.com/office/drawing/2014/main" id="{BB4ABB7B-A212-DE5D-95EA-702EE408320D}"/>
            </a:ext>
          </a:extLst>
        </xdr:cNvPr>
        <xdr:cNvSpPr txBox="1"/>
      </xdr:nvSpPr>
      <xdr:spPr>
        <a:xfrm>
          <a:off x="16584930" y="1051242"/>
          <a:ext cx="5612130" cy="27358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sz="1100"/>
            <a:t>Exercise 3 Discussion: Design</a:t>
          </a:r>
          <a:r>
            <a:rPr lang="en-CA" sz="1100" baseline="0"/>
            <a:t> A </a:t>
          </a:r>
          <a:r>
            <a:rPr lang="en-US" sz="1100" b="0" i="0" u="none" strike="noStrike">
              <a:solidFill>
                <a:schemeClr val="dk1"/>
              </a:solidFill>
              <a:effectLst/>
              <a:latin typeface="+mn-lt"/>
              <a:ea typeface="+mn-ea"/>
              <a:cs typeface="+mn-cs"/>
            </a:rPr>
            <a:t>prioritized minimizing upfront capital costs by reducing the initial number of installed cameras. This decision was made at the expense of higher operational costs, such as employing additional security guards to manually inspect areas not covered by cameras. So, Design</a:t>
          </a:r>
          <a:r>
            <a:rPr lang="en-US" sz="1100" b="0" i="0" u="none" strike="noStrike" baseline="0">
              <a:solidFill>
                <a:schemeClr val="dk1"/>
              </a:solidFill>
              <a:effectLst/>
              <a:latin typeface="+mn-lt"/>
              <a:ea typeface="+mn-ea"/>
              <a:cs typeface="+mn-cs"/>
            </a:rPr>
            <a:t> A had low CapEx ($25,000), but had high OpEx ($41,811). Since the values are smaller, the montized benefits are also smaller, which was $184,000 from year 2-10. On the other hand, Design B prioritized high CapEx ($138,248) in the expense of low OpEx ($211,720.39). Since the values are bigger the monetized benefits are also bigger, which was $763,113.53 from year 2-10.The values are bigger for Design 2 because it expands areas like cybersecurity, which not only increases the total costs but also brings more monetized benefits due to the protection from data breaches. On the contrary, Design A only touches controlling cameras and giving security guards intuitive and easy-to-use dashboards, which in total has lower CapEx and OpEx costs and lower monetized benefits. Year 1 was spent building the Facility Security Software for both designs, which is why the monetized benefits were 0. From year 2 -10, there was no CapEx, but there was specific OpEx cost per year and net cash flow was calculated as (Monetized Benefits - CapEx - OpEx) for each year. </a:t>
          </a:r>
          <a:endParaRPr lang="en-CA" sz="1100"/>
        </a:p>
      </xdr:txBody>
    </xdr:sp>
    <xdr:clientData/>
  </xdr:twoCellAnchor>
  <xdr:twoCellAnchor>
    <xdr:from>
      <xdr:col>0</xdr:col>
      <xdr:colOff>-3175</xdr:colOff>
      <xdr:row>22</xdr:row>
      <xdr:rowOff>93661</xdr:rowOff>
    </xdr:from>
    <xdr:to>
      <xdr:col>6</xdr:col>
      <xdr:colOff>323850</xdr:colOff>
      <xdr:row>38</xdr:row>
      <xdr:rowOff>85725</xdr:rowOff>
    </xdr:to>
    <xdr:graphicFrame macro="">
      <xdr:nvGraphicFramePr>
        <xdr:cNvPr id="6" name="Chart 5">
          <a:extLst>
            <a:ext uri="{FF2B5EF4-FFF2-40B4-BE49-F238E27FC236}">
              <a16:creationId xmlns:a16="http://schemas.microsoft.com/office/drawing/2014/main" id="{8F7224F3-5C12-810C-38AE-3E4662B4A3D1}"/>
            </a:ext>
            <a:ext uri="{147F2762-F138-4A5C-976F-8EAC2B608ADB}">
              <a16:predDERef xmlns:a16="http://schemas.microsoft.com/office/drawing/2014/main" pred="{BB4ABB7B-A212-DE5D-95EA-702EE40832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419100</xdr:colOff>
      <xdr:row>22</xdr:row>
      <xdr:rowOff>85725</xdr:rowOff>
    </xdr:from>
    <xdr:to>
      <xdr:col>15</xdr:col>
      <xdr:colOff>228600</xdr:colOff>
      <xdr:row>39</xdr:row>
      <xdr:rowOff>15240</xdr:rowOff>
    </xdr:to>
    <xdr:graphicFrame macro="">
      <xdr:nvGraphicFramePr>
        <xdr:cNvPr id="7" name="Chart 6">
          <a:extLst>
            <a:ext uri="{FF2B5EF4-FFF2-40B4-BE49-F238E27FC236}">
              <a16:creationId xmlns:a16="http://schemas.microsoft.com/office/drawing/2014/main" id="{1F081EE1-5CE8-4C07-BF4C-06E29C3CAF83}"/>
            </a:ext>
            <a:ext uri="{147F2762-F138-4A5C-976F-8EAC2B608ADB}">
              <a16:predDERef xmlns:a16="http://schemas.microsoft.com/office/drawing/2014/main" pred="{8F7224F3-5C12-810C-38AE-3E4662B4A3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216AE-3926-464E-81B9-CD6B4977DFCE}">
  <dimension ref="A1:W22"/>
  <sheetViews>
    <sheetView tabSelected="1" topLeftCell="J2" workbookViewId="0">
      <selection activeCell="E16" sqref="E16"/>
    </sheetView>
  </sheetViews>
  <sheetFormatPr defaultRowHeight="14.4" x14ac:dyDescent="0.3"/>
  <cols>
    <col min="1" max="1" width="15.44140625" customWidth="1"/>
    <col min="2" max="2" width="11.6640625" bestFit="1" customWidth="1"/>
    <col min="3" max="3" width="26" customWidth="1"/>
    <col min="4" max="4" width="11.109375" bestFit="1" customWidth="1"/>
    <col min="5" max="5" width="13.109375" bestFit="1" customWidth="1"/>
    <col min="7" max="7" width="8.44140625" customWidth="1"/>
    <col min="9" max="9" width="8.88671875" customWidth="1"/>
    <col min="10" max="10" width="16.33203125" customWidth="1"/>
    <col min="11" max="11" width="28.44140625" customWidth="1"/>
    <col min="12" max="12" width="11.33203125" customWidth="1"/>
    <col min="13" max="13" width="13.109375" bestFit="1" customWidth="1"/>
    <col min="15" max="15" width="11.44140625" customWidth="1"/>
    <col min="16" max="16" width="18" customWidth="1"/>
    <col min="17" max="17" width="16" customWidth="1"/>
    <col min="18" max="18" width="10.44140625" customWidth="1"/>
    <col min="19" max="19" width="10.6640625" customWidth="1"/>
  </cols>
  <sheetData>
    <row r="1" spans="1:23" x14ac:dyDescent="0.3">
      <c r="A1" s="1" t="s">
        <v>0</v>
      </c>
      <c r="B1" s="1" t="s">
        <v>1</v>
      </c>
      <c r="C1" s="1" t="s">
        <v>2</v>
      </c>
      <c r="I1" s="1" t="s">
        <v>0</v>
      </c>
      <c r="J1" s="1" t="s">
        <v>1</v>
      </c>
      <c r="K1" s="1" t="s">
        <v>2</v>
      </c>
      <c r="P1" s="1" t="s">
        <v>0</v>
      </c>
      <c r="Q1" s="1" t="s">
        <v>1</v>
      </c>
      <c r="R1" s="1" t="s">
        <v>2</v>
      </c>
    </row>
    <row r="2" spans="1:23" ht="42.6" customHeight="1" x14ac:dyDescent="0.3">
      <c r="A2" s="19" t="s">
        <v>16</v>
      </c>
      <c r="B2" s="19" t="s">
        <v>19</v>
      </c>
      <c r="C2" s="19" t="s">
        <v>23</v>
      </c>
      <c r="I2" s="20" t="s">
        <v>17</v>
      </c>
      <c r="J2" s="21" t="s">
        <v>20</v>
      </c>
      <c r="K2" s="21" t="s">
        <v>24</v>
      </c>
      <c r="O2" s="17"/>
      <c r="P2" s="18" t="s">
        <v>3</v>
      </c>
      <c r="Q2" s="1"/>
      <c r="V2" s="13" t="s">
        <v>4</v>
      </c>
      <c r="W2" s="14">
        <v>7.0000000000000007E-2</v>
      </c>
    </row>
    <row r="3" spans="1:23" x14ac:dyDescent="0.3">
      <c r="A3" t="s">
        <v>5</v>
      </c>
      <c r="B3" t="s">
        <v>18</v>
      </c>
      <c r="I3" t="s">
        <v>6</v>
      </c>
      <c r="J3" t="s">
        <v>21</v>
      </c>
      <c r="P3" t="s">
        <v>7</v>
      </c>
    </row>
    <row r="4" spans="1:23" ht="43.2" x14ac:dyDescent="0.3">
      <c r="A4" s="2" t="s">
        <v>8</v>
      </c>
      <c r="B4" s="3" t="s">
        <v>9</v>
      </c>
      <c r="C4" s="3" t="s">
        <v>10</v>
      </c>
      <c r="D4" s="3" t="s">
        <v>11</v>
      </c>
      <c r="E4" s="3" t="s">
        <v>12</v>
      </c>
      <c r="I4" s="23" t="s">
        <v>8</v>
      </c>
      <c r="J4" s="3" t="s">
        <v>9</v>
      </c>
      <c r="K4" s="3" t="s">
        <v>10</v>
      </c>
      <c r="L4" s="3" t="s">
        <v>11</v>
      </c>
      <c r="M4" s="3" t="s">
        <v>12</v>
      </c>
      <c r="P4" s="5" t="s">
        <v>8</v>
      </c>
      <c r="Q4" s="3" t="s">
        <v>9</v>
      </c>
      <c r="R4" s="3" t="s">
        <v>10</v>
      </c>
      <c r="S4" s="3" t="s">
        <v>11</v>
      </c>
      <c r="T4" s="3" t="s">
        <v>12</v>
      </c>
    </row>
    <row r="5" spans="1:23" ht="15.6" x14ac:dyDescent="0.3">
      <c r="A5" s="4">
        <v>1</v>
      </c>
      <c r="B5" s="8">
        <v>-25000</v>
      </c>
      <c r="C5" s="8">
        <v>-41811</v>
      </c>
      <c r="D5" s="8">
        <v>0</v>
      </c>
      <c r="E5" s="9">
        <f>SUM(B5:D5)</f>
        <v>-66811</v>
      </c>
      <c r="G5" s="16"/>
      <c r="I5" s="26">
        <v>1</v>
      </c>
      <c r="J5" s="27">
        <v>-138248</v>
      </c>
      <c r="K5" s="27">
        <v>-211720.39</v>
      </c>
      <c r="L5" s="28">
        <v>0</v>
      </c>
      <c r="M5" s="27">
        <v>-349968.39</v>
      </c>
      <c r="P5" s="5">
        <v>1</v>
      </c>
      <c r="Q5" s="6"/>
      <c r="R5" s="6"/>
      <c r="S5" s="7"/>
      <c r="T5" s="6"/>
    </row>
    <row r="6" spans="1:23" ht="15.6" x14ac:dyDescent="0.3">
      <c r="A6" s="4">
        <v>2</v>
      </c>
      <c r="B6" s="8">
        <v>0</v>
      </c>
      <c r="C6" s="8">
        <v>-41811</v>
      </c>
      <c r="D6" s="8">
        <v>184000</v>
      </c>
      <c r="E6" s="9">
        <f>SUM(B6:D6)</f>
        <v>142189</v>
      </c>
      <c r="G6" s="16"/>
      <c r="I6" s="26">
        <v>2</v>
      </c>
      <c r="J6" s="28">
        <v>0</v>
      </c>
      <c r="K6" s="27">
        <v>-211720.39</v>
      </c>
      <c r="L6" s="28">
        <v>763113.53</v>
      </c>
      <c r="M6" s="28">
        <v>551393.14</v>
      </c>
      <c r="P6" s="5">
        <v>2</v>
      </c>
      <c r="Q6" s="7"/>
      <c r="R6" s="6"/>
      <c r="S6" s="7"/>
      <c r="T6" s="6"/>
    </row>
    <row r="7" spans="1:23" ht="15.6" x14ac:dyDescent="0.3">
      <c r="A7" s="4">
        <v>3</v>
      </c>
      <c r="B7" s="8">
        <v>0</v>
      </c>
      <c r="C7" s="8">
        <v>-41811</v>
      </c>
      <c r="D7" s="8">
        <v>184000</v>
      </c>
      <c r="E7" s="9">
        <f t="shared" ref="E7:E11" si="0">SUM(B7:D7)</f>
        <v>142189</v>
      </c>
      <c r="G7" s="16"/>
      <c r="I7" s="26">
        <v>3</v>
      </c>
      <c r="J7" s="28">
        <v>0</v>
      </c>
      <c r="K7" s="27">
        <v>-211720.39</v>
      </c>
      <c r="L7" s="28">
        <v>763113.53</v>
      </c>
      <c r="M7" s="28">
        <v>551393.14</v>
      </c>
      <c r="P7" s="5">
        <v>3</v>
      </c>
      <c r="Q7" s="7"/>
      <c r="R7" s="6"/>
      <c r="S7" s="7"/>
      <c r="T7" s="6"/>
    </row>
    <row r="8" spans="1:23" ht="15.6" x14ac:dyDescent="0.3">
      <c r="A8" s="4">
        <v>4</v>
      </c>
      <c r="B8" s="8">
        <v>0</v>
      </c>
      <c r="C8" s="8">
        <v>-41811</v>
      </c>
      <c r="D8" s="8">
        <v>184000</v>
      </c>
      <c r="E8" s="9">
        <f t="shared" si="0"/>
        <v>142189</v>
      </c>
      <c r="G8" s="16"/>
      <c r="I8" s="26">
        <v>4</v>
      </c>
      <c r="J8" s="28">
        <v>0</v>
      </c>
      <c r="K8" s="27">
        <v>-211720.39</v>
      </c>
      <c r="L8" s="28">
        <v>763113.53</v>
      </c>
      <c r="M8" s="28">
        <v>551393.14</v>
      </c>
      <c r="P8" s="5">
        <v>4</v>
      </c>
      <c r="Q8" s="7"/>
      <c r="R8" s="6"/>
      <c r="S8" s="7"/>
      <c r="T8" s="6"/>
    </row>
    <row r="9" spans="1:23" ht="15.6" x14ac:dyDescent="0.3">
      <c r="A9" s="4">
        <v>5</v>
      </c>
      <c r="B9" s="8">
        <v>0</v>
      </c>
      <c r="C9" s="8">
        <v>-41811</v>
      </c>
      <c r="D9" s="8">
        <v>184000</v>
      </c>
      <c r="E9" s="9">
        <f t="shared" si="0"/>
        <v>142189</v>
      </c>
      <c r="G9" s="16"/>
      <c r="I9" s="26">
        <v>5</v>
      </c>
      <c r="J9" s="28">
        <v>0</v>
      </c>
      <c r="K9" s="27">
        <v>-211720.39</v>
      </c>
      <c r="L9" s="28">
        <v>763113.53</v>
      </c>
      <c r="M9" s="28">
        <v>551393.14</v>
      </c>
      <c r="P9" s="5">
        <v>5</v>
      </c>
      <c r="Q9" s="7"/>
      <c r="R9" s="6"/>
      <c r="S9" s="7"/>
      <c r="T9" s="6"/>
    </row>
    <row r="10" spans="1:23" ht="15.6" x14ac:dyDescent="0.3">
      <c r="A10" s="4">
        <v>6</v>
      </c>
      <c r="B10" s="8">
        <v>0</v>
      </c>
      <c r="C10" s="8">
        <v>-41811</v>
      </c>
      <c r="D10" s="8">
        <v>184000</v>
      </c>
      <c r="E10" s="9">
        <f t="shared" si="0"/>
        <v>142189</v>
      </c>
      <c r="G10" s="16"/>
      <c r="I10" s="26">
        <v>6</v>
      </c>
      <c r="J10" s="28">
        <v>0</v>
      </c>
      <c r="K10" s="27">
        <v>-211720.39</v>
      </c>
      <c r="L10" s="28">
        <v>763113.53</v>
      </c>
      <c r="M10" s="28">
        <v>551393.14</v>
      </c>
      <c r="P10" s="5">
        <v>6</v>
      </c>
      <c r="Q10" s="7"/>
      <c r="R10" s="6"/>
      <c r="S10" s="7"/>
      <c r="T10" s="6"/>
    </row>
    <row r="11" spans="1:23" ht="15.6" x14ac:dyDescent="0.3">
      <c r="A11" s="4">
        <v>7</v>
      </c>
      <c r="B11" s="8">
        <v>0</v>
      </c>
      <c r="C11" s="8">
        <v>-41811</v>
      </c>
      <c r="D11" s="8">
        <v>184000</v>
      </c>
      <c r="E11" s="9">
        <f t="shared" si="0"/>
        <v>142189</v>
      </c>
      <c r="G11" s="16"/>
      <c r="I11" s="26">
        <v>7</v>
      </c>
      <c r="J11" s="28">
        <v>0</v>
      </c>
      <c r="K11" s="27">
        <v>-211720.39</v>
      </c>
      <c r="L11" s="28">
        <v>763113.53</v>
      </c>
      <c r="M11" s="28">
        <v>551393.14</v>
      </c>
      <c r="P11" s="5">
        <v>7</v>
      </c>
      <c r="Q11" s="7"/>
      <c r="R11" s="6"/>
      <c r="S11" s="7"/>
      <c r="T11" s="6"/>
    </row>
    <row r="12" spans="1:23" ht="15.6" x14ac:dyDescent="0.3">
      <c r="A12" s="4">
        <v>8</v>
      </c>
      <c r="B12" s="8">
        <v>0</v>
      </c>
      <c r="C12" s="8">
        <v>-41811</v>
      </c>
      <c r="D12" s="8">
        <v>184000</v>
      </c>
      <c r="E12" s="9">
        <f t="shared" ref="E12:E14" si="1">SUM(B12:D12)</f>
        <v>142189</v>
      </c>
      <c r="G12" s="15"/>
      <c r="I12" s="26">
        <v>8</v>
      </c>
      <c r="J12" s="28">
        <v>0</v>
      </c>
      <c r="K12" s="27">
        <v>-211720.39</v>
      </c>
      <c r="L12" s="28">
        <v>763113.53</v>
      </c>
      <c r="M12" s="28">
        <v>551393.14</v>
      </c>
      <c r="P12" s="5">
        <v>8</v>
      </c>
      <c r="Q12" s="7"/>
      <c r="R12" s="6"/>
      <c r="S12" s="7"/>
      <c r="T12" s="6"/>
    </row>
    <row r="13" spans="1:23" ht="15.6" x14ac:dyDescent="0.3">
      <c r="A13" s="4">
        <v>9</v>
      </c>
      <c r="B13" s="8">
        <v>0</v>
      </c>
      <c r="C13" s="8">
        <v>-41811</v>
      </c>
      <c r="D13" s="8">
        <v>184000</v>
      </c>
      <c r="E13" s="9">
        <f t="shared" si="1"/>
        <v>142189</v>
      </c>
      <c r="I13" s="26">
        <v>9</v>
      </c>
      <c r="J13" s="28">
        <v>0</v>
      </c>
      <c r="K13" s="27">
        <v>-211720.39</v>
      </c>
      <c r="L13" s="28">
        <v>763113.53</v>
      </c>
      <c r="M13" s="28">
        <v>551393.14</v>
      </c>
      <c r="P13" s="5">
        <v>9</v>
      </c>
      <c r="Q13" s="7"/>
      <c r="R13" s="6"/>
      <c r="S13" s="7"/>
      <c r="T13" s="6"/>
    </row>
    <row r="14" spans="1:23" ht="15.6" x14ac:dyDescent="0.3">
      <c r="A14" s="4">
        <v>10</v>
      </c>
      <c r="B14" s="8">
        <v>0</v>
      </c>
      <c r="C14" s="8">
        <v>-41811</v>
      </c>
      <c r="D14" s="8">
        <v>184000</v>
      </c>
      <c r="E14" s="9">
        <f t="shared" si="1"/>
        <v>142189</v>
      </c>
      <c r="I14" s="26">
        <v>10</v>
      </c>
      <c r="J14" s="28">
        <v>0</v>
      </c>
      <c r="K14" s="27">
        <v>-211720.39</v>
      </c>
      <c r="L14" s="28">
        <v>763113.53</v>
      </c>
      <c r="M14" s="28">
        <v>551393.14</v>
      </c>
      <c r="P14" s="5">
        <v>10</v>
      </c>
      <c r="Q14" s="7"/>
      <c r="R14" s="6"/>
      <c r="S14" s="7"/>
      <c r="T14" s="6"/>
    </row>
    <row r="15" spans="1:23" ht="15.6" x14ac:dyDescent="0.3">
      <c r="D15" s="10" t="s">
        <v>13</v>
      </c>
      <c r="E15" s="11">
        <f>NPV(W2,E5:E14)</f>
        <v>803348.93291992717</v>
      </c>
      <c r="L15" s="24" t="s">
        <v>13</v>
      </c>
      <c r="M15" s="25">
        <f>NPV(W2,M5:M14)</f>
        <v>3030360.726629837</v>
      </c>
      <c r="P15" s="5">
        <v>11</v>
      </c>
      <c r="Q15" s="7"/>
      <c r="R15" s="6"/>
      <c r="S15" s="7"/>
      <c r="T15" s="6"/>
    </row>
    <row r="16" spans="1:23" ht="15.6" x14ac:dyDescent="0.3">
      <c r="D16" s="10" t="s">
        <v>14</v>
      </c>
      <c r="E16" s="12">
        <f>-PMT(W2,COUNTA(A5:A14),E15)</f>
        <v>114378.81488783247</v>
      </c>
      <c r="L16" s="10" t="s">
        <v>14</v>
      </c>
      <c r="M16" s="12">
        <f>-PMT(W2,COUNTA(I5:I14),M15)</f>
        <v>431455.19262063858</v>
      </c>
      <c r="P16" s="5">
        <v>12</v>
      </c>
      <c r="Q16" s="7"/>
      <c r="R16" s="6"/>
      <c r="S16" s="7"/>
      <c r="T16" s="6"/>
    </row>
    <row r="17" spans="1:20" ht="15.6" x14ac:dyDescent="0.3">
      <c r="P17" s="5">
        <v>13</v>
      </c>
      <c r="Q17" s="7"/>
      <c r="R17" s="6"/>
      <c r="S17" s="7"/>
      <c r="T17" s="6"/>
    </row>
    <row r="18" spans="1:20" ht="15.6" x14ac:dyDescent="0.3">
      <c r="P18" s="5">
        <v>14</v>
      </c>
      <c r="Q18" s="7"/>
      <c r="R18" s="6"/>
      <c r="S18" s="7"/>
      <c r="T18" s="6"/>
    </row>
    <row r="19" spans="1:20" ht="15.6" x14ac:dyDescent="0.3">
      <c r="A19" t="s">
        <v>22</v>
      </c>
      <c r="P19" s="5">
        <v>15</v>
      </c>
      <c r="Q19" s="7"/>
      <c r="R19" s="6"/>
      <c r="S19" s="7"/>
      <c r="T19" s="6"/>
    </row>
    <row r="20" spans="1:20" x14ac:dyDescent="0.3">
      <c r="S20" s="10" t="s">
        <v>13</v>
      </c>
      <c r="T20" s="11"/>
    </row>
    <row r="21" spans="1:20" x14ac:dyDescent="0.3">
      <c r="S21" s="10" t="s">
        <v>14</v>
      </c>
      <c r="T21" s="12"/>
    </row>
    <row r="22" spans="1:20" ht="45" customHeight="1" x14ac:dyDescent="0.3">
      <c r="A22" s="22" t="s">
        <v>15</v>
      </c>
      <c r="B22" s="22"/>
      <c r="C22" s="22"/>
      <c r="D22" s="22"/>
      <c r="E22" s="22"/>
    </row>
  </sheetData>
  <mergeCells count="1">
    <mergeCell ref="A22:E2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9BC17E552CE50459814B45CAB38E643" ma:contentTypeVersion="16" ma:contentTypeDescription="Create a new document." ma:contentTypeScope="" ma:versionID="a2c4a0a3be967a154ef3fcd83466f29a">
  <xsd:schema xmlns:xsd="http://www.w3.org/2001/XMLSchema" xmlns:xs="http://www.w3.org/2001/XMLSchema" xmlns:p="http://schemas.microsoft.com/office/2006/metadata/properties" xmlns:ns2="006c7cb9-3c36-40e5-a5d9-86e0029a058a" xmlns:ns3="a5db53bf-fe91-4cb9-a657-3e0c4c7ee7a0" targetNamespace="http://schemas.microsoft.com/office/2006/metadata/properties" ma:root="true" ma:fieldsID="4cb9171e460dc7c1a5cf1b2c367a13c3" ns2:_="" ns3:_="">
    <xsd:import namespace="006c7cb9-3c36-40e5-a5d9-86e0029a058a"/>
    <xsd:import namespace="a5db53bf-fe91-4cb9-a657-3e0c4c7ee7a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DateTaken" minOccurs="0"/>
                <xsd:element ref="ns3:MediaServiceObjectDetectorVersions" minOccurs="0"/>
                <xsd:element ref="ns3:MediaServiceGenerationTime" minOccurs="0"/>
                <xsd:element ref="ns3:MediaServiceEventHashCode" minOccurs="0"/>
                <xsd:element ref="ns3:MediaLengthInSeconds" minOccurs="0"/>
                <xsd:element ref="ns3:MediaServiceLocation" minOccurs="0"/>
                <xsd:element ref="ns3:lcf76f155ced4ddcb4097134ff3c332f" minOccurs="0"/>
                <xsd:element ref="ns2:TaxCatchAll" minOccurs="0"/>
                <xsd:element ref="ns3:MediaServiceOCR"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6c7cb9-3c36-40e5-a5d9-86e0029a058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cc6cf274-fc21-4180-95bc-11d99ba0f523}" ma:internalName="TaxCatchAll" ma:showField="CatchAllData" ma:web="006c7cb9-3c36-40e5-a5d9-86e0029a058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db53bf-fe91-4cb9-a657-3e0c4c7ee7a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dexed="true"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a073764d-e844-48d8-8cbc-d63b9d952867"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06c7cb9-3c36-40e5-a5d9-86e0029a058a" xsi:nil="true"/>
    <lcf76f155ced4ddcb4097134ff3c332f xmlns="a5db53bf-fe91-4cb9-a657-3e0c4c7ee7a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185EB5F-2BA9-4881-A2DF-9DA3A72126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6c7cb9-3c36-40e5-a5d9-86e0029a058a"/>
    <ds:schemaRef ds:uri="a5db53bf-fe91-4cb9-a657-3e0c4c7ee7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8DC4FED-1847-4410-B188-B279FB52EC83}">
  <ds:schemaRefs>
    <ds:schemaRef ds:uri="http://schemas.microsoft.com/sharepoint/v3/contenttype/forms"/>
  </ds:schemaRefs>
</ds:datastoreItem>
</file>

<file path=customXml/itemProps3.xml><?xml version="1.0" encoding="utf-8"?>
<ds:datastoreItem xmlns:ds="http://schemas.openxmlformats.org/officeDocument/2006/customXml" ds:itemID="{4AFE64AE-A369-4EEB-8916-2CAECBDB78AF}">
  <ds:schemaRefs>
    <ds:schemaRef ds:uri="http://www.w3.org/XML/1998/namespace"/>
    <ds:schemaRef ds:uri="006c7cb9-3c36-40e5-a5d9-86e0029a058a"/>
    <ds:schemaRef ds:uri="a5db53bf-fe91-4cb9-a657-3e0c4c7ee7a0"/>
    <ds:schemaRef ds:uri="http://schemas.microsoft.com/office/2006/documentManagement/types"/>
    <ds:schemaRef ds:uri="http://purl.org/dc/dcmitype/"/>
    <ds:schemaRef ds:uri="http://schemas.microsoft.com/office/2006/metadata/properties"/>
    <ds:schemaRef ds:uri="http://schemas.openxmlformats.org/package/2006/metadata/core-properties"/>
    <ds:schemaRef ds:uri="http://schemas.microsoft.com/office/infopath/2007/PartnerControls"/>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PW AW Comparison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OWNER</dc:creator>
  <cp:keywords/>
  <dc:description/>
  <cp:lastModifiedBy>Tridib Banik</cp:lastModifiedBy>
  <cp:revision/>
  <dcterms:created xsi:type="dcterms:W3CDTF">2025-09-23T15:37:39Z</dcterms:created>
  <dcterms:modified xsi:type="dcterms:W3CDTF">2026-02-09T14:41:14Z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0x01010069BC17E552CE50459814B45CAB38E643</vt:lpwstr>
  </property>
  <property fmtid="{D5CDD505-2E9C-101B-9397-08002B2CF9AE}" pid="3" name="MediaServiceImageTags">
    <vt:lpwstr/>
  </property>
</Properties>
</file>